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 codeName="{00000000-0000-0000-0000-000000000000}"/>
  <workbookPr showInkAnnotation="0" codeName="ThisWorkbook" autoCompressPictures="0"/>
  <bookViews>
    <workbookView xWindow="0" yWindow="0" windowWidth="25600" windowHeight="14240" tabRatio="953" activeTab="10"/>
  </bookViews>
  <sheets>
    <sheet name="Timeseries" sheetId="2" r:id="rId1"/>
    <sheet name="MySES" sheetId="20" r:id="rId2"/>
    <sheet name="SES" sheetId="3" r:id="rId3"/>
    <sheet name="MyHolt" sheetId="21" r:id="rId4"/>
    <sheet name="Holt'sTrend-Corrected" sheetId="5" r:id="rId5"/>
    <sheet name="MyAutocorrelate" sheetId="22" r:id="rId6"/>
    <sheet name="Holt's Autocorrelation" sheetId="6" r:id="rId7"/>
    <sheet name="HoltWintersInitial" sheetId="13" r:id="rId8"/>
    <sheet name="MyHoltWintersInitial" sheetId="23" r:id="rId9"/>
    <sheet name="MyHoltWintersSeasonal" sheetId="24" r:id="rId10"/>
    <sheet name="MyMonteCarlo" sheetId="25" r:id="rId11"/>
    <sheet name="HoltWintersSeasonal" sheetId="7" r:id="rId12"/>
    <sheet name="HW Autocorrelation" sheetId="18" r:id="rId13"/>
    <sheet name="PredictionIntervals" sheetId="11" r:id="rId14"/>
    <sheet name="Fan Chart" sheetId="19" r:id="rId15"/>
  </sheets>
  <definedNames>
    <definedName name="solver_adj" localSheetId="4" hidden="1">'Holt''sTrend-Corrected'!$C$2:$D$2</definedName>
    <definedName name="solver_adj" localSheetId="11" hidden="1">HoltWintersSeasonal!$C$2:$E$2</definedName>
    <definedName name="solver_adj" localSheetId="3" hidden="1">MyHolt!$D$2,MyHolt!$C$2</definedName>
    <definedName name="solver_adj" localSheetId="9" hidden="1">MyHoltWintersSeasonal!$C$2:$E$2</definedName>
    <definedName name="solver_adj" localSheetId="1" hidden="1">MySES!$D$2</definedName>
    <definedName name="solver_adj" localSheetId="13" hidden="1">PredictionIntervals!$C$2:$E$2</definedName>
    <definedName name="solver_adj" localSheetId="2" hidden="1">SES!$C$2</definedName>
    <definedName name="solver_cvg" localSheetId="4" hidden="1">0.0001</definedName>
    <definedName name="solver_cvg" localSheetId="11" hidden="1">0.0001</definedName>
    <definedName name="solver_cvg" localSheetId="3" hidden="1">0.0001</definedName>
    <definedName name="solver_cvg" localSheetId="9" hidden="1">0.0001</definedName>
    <definedName name="solver_cvg" localSheetId="1" hidden="1">0.0001</definedName>
    <definedName name="solver_cvg" localSheetId="13" hidden="1">0.0001</definedName>
    <definedName name="solver_cvg" localSheetId="2" hidden="1">0.0001</definedName>
    <definedName name="solver_drv" localSheetId="4" hidden="1">1</definedName>
    <definedName name="solver_drv" localSheetId="11" hidden="1">1</definedName>
    <definedName name="solver_drv" localSheetId="3" hidden="1">1</definedName>
    <definedName name="solver_drv" localSheetId="9" hidden="1">1</definedName>
    <definedName name="solver_drv" localSheetId="1" hidden="1">1</definedName>
    <definedName name="solver_drv" localSheetId="13" hidden="1">1</definedName>
    <definedName name="solver_drv" localSheetId="2" hidden="1">1</definedName>
    <definedName name="solver_eng" localSheetId="4" hidden="1">3</definedName>
    <definedName name="solver_eng" localSheetId="11" hidden="1">3</definedName>
    <definedName name="solver_eng" localSheetId="3" hidden="1">3</definedName>
    <definedName name="solver_eng" localSheetId="9" hidden="1">3</definedName>
    <definedName name="solver_eng" localSheetId="1" hidden="1">3</definedName>
    <definedName name="solver_eng" localSheetId="13" hidden="1">3</definedName>
    <definedName name="solver_eng" localSheetId="2" hidden="1">3</definedName>
    <definedName name="solver_itr" localSheetId="4" hidden="1">2147483647</definedName>
    <definedName name="solver_itr" localSheetId="11" hidden="1">2147483647</definedName>
    <definedName name="solver_itr" localSheetId="3" hidden="1">2147483647</definedName>
    <definedName name="solver_itr" localSheetId="9" hidden="1">2147483647</definedName>
    <definedName name="solver_itr" localSheetId="1" hidden="1">2147483647</definedName>
    <definedName name="solver_itr" localSheetId="13" hidden="1">2147483647</definedName>
    <definedName name="solver_itr" localSheetId="2" hidden="1">2147483647</definedName>
    <definedName name="solver_lhs1" localSheetId="4" hidden="1">'Holt''sTrend-Corrected'!$C$2:$D$2</definedName>
    <definedName name="solver_lhs1" localSheetId="11" hidden="1">HoltWintersSeasonal!$C$2:$E$2</definedName>
    <definedName name="solver_lhs1" localSheetId="3" hidden="1">MyHolt!$C$2:$D$2</definedName>
    <definedName name="solver_lhs1" localSheetId="9" hidden="1">MyHoltWintersSeasonal!$C$2:$E$2</definedName>
    <definedName name="solver_lhs1" localSheetId="1" hidden="1">MySES!$D$2</definedName>
    <definedName name="solver_lhs1" localSheetId="13" hidden="1">PredictionIntervals!$C$2:$E$2</definedName>
    <definedName name="solver_lhs1" localSheetId="2" hidden="1">SES!$C$2</definedName>
    <definedName name="solver_lin" localSheetId="4" hidden="1">2</definedName>
    <definedName name="solver_lin" localSheetId="11" hidden="1">2</definedName>
    <definedName name="solver_lin" localSheetId="3" hidden="1">2</definedName>
    <definedName name="solver_lin" localSheetId="9" hidden="1">2</definedName>
    <definedName name="solver_lin" localSheetId="1" hidden="1">2</definedName>
    <definedName name="solver_lin" localSheetId="13" hidden="1">2</definedName>
    <definedName name="solver_lin" localSheetId="2" hidden="1">2</definedName>
    <definedName name="solver_mip" localSheetId="4" hidden="1">2147483647</definedName>
    <definedName name="solver_mip" localSheetId="11" hidden="1">2147483647</definedName>
    <definedName name="solver_mip" localSheetId="3" hidden="1">2147483647</definedName>
    <definedName name="solver_mip" localSheetId="9" hidden="1">2147483647</definedName>
    <definedName name="solver_mip" localSheetId="1" hidden="1">2147483647</definedName>
    <definedName name="solver_mip" localSheetId="13" hidden="1">2147483647</definedName>
    <definedName name="solver_mip" localSheetId="2" hidden="1">2147483647</definedName>
    <definedName name="solver_mni" localSheetId="4" hidden="1">30</definedName>
    <definedName name="solver_mni" localSheetId="11" hidden="1">30</definedName>
    <definedName name="solver_mni" localSheetId="3" hidden="1">30</definedName>
    <definedName name="solver_mni" localSheetId="9" hidden="1">30</definedName>
    <definedName name="solver_mni" localSheetId="1" hidden="1">30</definedName>
    <definedName name="solver_mni" localSheetId="13" hidden="1">30</definedName>
    <definedName name="solver_mni" localSheetId="2" hidden="1">30</definedName>
    <definedName name="solver_mrt" localSheetId="4" hidden="1">0.075</definedName>
    <definedName name="solver_mrt" localSheetId="11" hidden="1">0.075</definedName>
    <definedName name="solver_mrt" localSheetId="3" hidden="1">0.075</definedName>
    <definedName name="solver_mrt" localSheetId="9" hidden="1">0.075</definedName>
    <definedName name="solver_mrt" localSheetId="1" hidden="1">0.075</definedName>
    <definedName name="solver_mrt" localSheetId="13" hidden="1">0.075</definedName>
    <definedName name="solver_mrt" localSheetId="2" hidden="1">0.075</definedName>
    <definedName name="solver_msl" localSheetId="4" hidden="1">2</definedName>
    <definedName name="solver_msl" localSheetId="11" hidden="1">2</definedName>
    <definedName name="solver_msl" localSheetId="3" hidden="1">2</definedName>
    <definedName name="solver_msl" localSheetId="9" hidden="1">2</definedName>
    <definedName name="solver_msl" localSheetId="1" hidden="1">2</definedName>
    <definedName name="solver_msl" localSheetId="13" hidden="1">2</definedName>
    <definedName name="solver_msl" localSheetId="2" hidden="1">2</definedName>
    <definedName name="solver_neg" localSheetId="4" hidden="1">1</definedName>
    <definedName name="solver_neg" localSheetId="11" hidden="1">1</definedName>
    <definedName name="solver_neg" localSheetId="3" hidden="1">1</definedName>
    <definedName name="solver_neg" localSheetId="9" hidden="1">1</definedName>
    <definedName name="solver_neg" localSheetId="1" hidden="1">1</definedName>
    <definedName name="solver_neg" localSheetId="13" hidden="1">1</definedName>
    <definedName name="solver_neg" localSheetId="2" hidden="1">1</definedName>
    <definedName name="solver_nod" localSheetId="4" hidden="1">2147483647</definedName>
    <definedName name="solver_nod" localSheetId="11" hidden="1">2147483647</definedName>
    <definedName name="solver_nod" localSheetId="3" hidden="1">2147483647</definedName>
    <definedName name="solver_nod" localSheetId="9" hidden="1">2147483647</definedName>
    <definedName name="solver_nod" localSheetId="1" hidden="1">2147483647</definedName>
    <definedName name="solver_nod" localSheetId="13" hidden="1">2147483647</definedName>
    <definedName name="solver_nod" localSheetId="2" hidden="1">2147483647</definedName>
    <definedName name="solver_num" localSheetId="4" hidden="1">1</definedName>
    <definedName name="solver_num" localSheetId="11" hidden="1">1</definedName>
    <definedName name="solver_num" localSheetId="3" hidden="1">1</definedName>
    <definedName name="solver_num" localSheetId="9" hidden="1">1</definedName>
    <definedName name="solver_num" localSheetId="1" hidden="1">1</definedName>
    <definedName name="solver_num" localSheetId="13" hidden="1">1</definedName>
    <definedName name="solver_num" localSheetId="2" hidden="1">1</definedName>
    <definedName name="solver_opt" localSheetId="4" hidden="1">'Holt''sTrend-Corrected'!$G$2</definedName>
    <definedName name="solver_opt" localSheetId="11" hidden="1">HoltWintersSeasonal!$H$2</definedName>
    <definedName name="solver_opt" localSheetId="3" hidden="1">MyHolt!$G$2</definedName>
    <definedName name="solver_opt" localSheetId="9" hidden="1">MyHoltWintersSeasonal!$H$2</definedName>
    <definedName name="solver_opt" localSheetId="1" hidden="1">MySES!$F$2</definedName>
    <definedName name="solver_opt" localSheetId="13" hidden="1">PredictionIntervals!$G$2</definedName>
    <definedName name="solver_opt" localSheetId="2" hidden="1">SES!$F$2</definedName>
    <definedName name="solver_pre" localSheetId="4" hidden="1">0.000001</definedName>
    <definedName name="solver_pre" localSheetId="11" hidden="1">0.000001</definedName>
    <definedName name="solver_pre" localSheetId="3" hidden="1">0.000001</definedName>
    <definedName name="solver_pre" localSheetId="9" hidden="1">0.000001</definedName>
    <definedName name="solver_pre" localSheetId="1" hidden="1">0.000001</definedName>
    <definedName name="solver_pre" localSheetId="13" hidden="1">0.000001</definedName>
    <definedName name="solver_pre" localSheetId="2" hidden="1">0.000001</definedName>
    <definedName name="solver_rbv" localSheetId="4" hidden="1">1</definedName>
    <definedName name="solver_rbv" localSheetId="11" hidden="1">1</definedName>
    <definedName name="solver_rbv" localSheetId="3" hidden="1">1</definedName>
    <definedName name="solver_rbv" localSheetId="9" hidden="1">1</definedName>
    <definedName name="solver_rbv" localSheetId="1" hidden="1">1</definedName>
    <definedName name="solver_rbv" localSheetId="13" hidden="1">1</definedName>
    <definedName name="solver_rbv" localSheetId="2" hidden="1">1</definedName>
    <definedName name="solver_rel1" localSheetId="4" hidden="1">1</definedName>
    <definedName name="solver_rel1" localSheetId="11" hidden="1">1</definedName>
    <definedName name="solver_rel1" localSheetId="3" hidden="1">1</definedName>
    <definedName name="solver_rel1" localSheetId="9" hidden="1">1</definedName>
    <definedName name="solver_rel1" localSheetId="1" hidden="1">1</definedName>
    <definedName name="solver_rel1" localSheetId="13" hidden="1">1</definedName>
    <definedName name="solver_rel1" localSheetId="2" hidden="1">1</definedName>
    <definedName name="solver_rhs1" localSheetId="4" hidden="1">1</definedName>
    <definedName name="solver_rhs1" localSheetId="11" hidden="1">1</definedName>
    <definedName name="solver_rhs1" localSheetId="3" hidden="1">1</definedName>
    <definedName name="solver_rhs1" localSheetId="9" hidden="1">1</definedName>
    <definedName name="solver_rhs1" localSheetId="1" hidden="1">1</definedName>
    <definedName name="solver_rhs1" localSheetId="13" hidden="1">1</definedName>
    <definedName name="solver_rhs1" localSheetId="2" hidden="1">1</definedName>
    <definedName name="solver_rlx" localSheetId="4" hidden="1">2</definedName>
    <definedName name="solver_rlx" localSheetId="11" hidden="1">2</definedName>
    <definedName name="solver_rlx" localSheetId="3" hidden="1">2</definedName>
    <definedName name="solver_rlx" localSheetId="9" hidden="1">2</definedName>
    <definedName name="solver_rlx" localSheetId="1" hidden="1">2</definedName>
    <definedName name="solver_rlx" localSheetId="13" hidden="1">2</definedName>
    <definedName name="solver_rlx" localSheetId="2" hidden="1">2</definedName>
    <definedName name="solver_rsd" localSheetId="4" hidden="1">0</definedName>
    <definedName name="solver_rsd" localSheetId="11" hidden="1">0</definedName>
    <definedName name="solver_rsd" localSheetId="3" hidden="1">0</definedName>
    <definedName name="solver_rsd" localSheetId="9" hidden="1">0</definedName>
    <definedName name="solver_rsd" localSheetId="1" hidden="1">0</definedName>
    <definedName name="solver_rsd" localSheetId="13" hidden="1">0</definedName>
    <definedName name="solver_rsd" localSheetId="2" hidden="1">0</definedName>
    <definedName name="solver_scl" localSheetId="4" hidden="1">1</definedName>
    <definedName name="solver_scl" localSheetId="11" hidden="1">1</definedName>
    <definedName name="solver_scl" localSheetId="3" hidden="1">1</definedName>
    <definedName name="solver_scl" localSheetId="9" hidden="1">1</definedName>
    <definedName name="solver_scl" localSheetId="1" hidden="1">1</definedName>
    <definedName name="solver_scl" localSheetId="13" hidden="1">1</definedName>
    <definedName name="solver_scl" localSheetId="2" hidden="1">1</definedName>
    <definedName name="solver_sho" localSheetId="4" hidden="1">2</definedName>
    <definedName name="solver_sho" localSheetId="11" hidden="1">2</definedName>
    <definedName name="solver_sho" localSheetId="3" hidden="1">2</definedName>
    <definedName name="solver_sho" localSheetId="9" hidden="1">2</definedName>
    <definedName name="solver_sho" localSheetId="1" hidden="1">2</definedName>
    <definedName name="solver_sho" localSheetId="13" hidden="1">2</definedName>
    <definedName name="solver_sho" localSheetId="2" hidden="1">2</definedName>
    <definedName name="solver_ssz" localSheetId="4" hidden="1">100</definedName>
    <definedName name="solver_ssz" localSheetId="11" hidden="1">100</definedName>
    <definedName name="solver_ssz" localSheetId="3" hidden="1">100</definedName>
    <definedName name="solver_ssz" localSheetId="9" hidden="1">100</definedName>
    <definedName name="solver_ssz" localSheetId="1" hidden="1">100</definedName>
    <definedName name="solver_ssz" localSheetId="13" hidden="1">100</definedName>
    <definedName name="solver_ssz" localSheetId="2" hidden="1">100</definedName>
    <definedName name="solver_tim" localSheetId="4" hidden="1">2147483647</definedName>
    <definedName name="solver_tim" localSheetId="11" hidden="1">2147483647</definedName>
    <definedName name="solver_tim" localSheetId="3" hidden="1">2147483647</definedName>
    <definedName name="solver_tim" localSheetId="9" hidden="1">2147483647</definedName>
    <definedName name="solver_tim" localSheetId="1" hidden="1">2147483647</definedName>
    <definedName name="solver_tim" localSheetId="13" hidden="1">2147483647</definedName>
    <definedName name="solver_tim" localSheetId="2" hidden="1">2147483647</definedName>
    <definedName name="solver_tol" localSheetId="4" hidden="1">0.01</definedName>
    <definedName name="solver_tol" localSheetId="11" hidden="1">0.01</definedName>
    <definedName name="solver_tol" localSheetId="3" hidden="1">0.01</definedName>
    <definedName name="solver_tol" localSheetId="9" hidden="1">0.01</definedName>
    <definedName name="solver_tol" localSheetId="1" hidden="1">0.01</definedName>
    <definedName name="solver_tol" localSheetId="13" hidden="1">0.01</definedName>
    <definedName name="solver_tol" localSheetId="2" hidden="1">0.01</definedName>
    <definedName name="solver_typ" localSheetId="4" hidden="1">2</definedName>
    <definedName name="solver_typ" localSheetId="11" hidden="1">2</definedName>
    <definedName name="solver_typ" localSheetId="3" hidden="1">2</definedName>
    <definedName name="solver_typ" localSheetId="9" hidden="1">2</definedName>
    <definedName name="solver_typ" localSheetId="1" hidden="1">2</definedName>
    <definedName name="solver_typ" localSheetId="13" hidden="1">2</definedName>
    <definedName name="solver_typ" localSheetId="2" hidden="1">2</definedName>
    <definedName name="solver_val" localSheetId="4" hidden="1">0</definedName>
    <definedName name="solver_val" localSheetId="11" hidden="1">0</definedName>
    <definedName name="solver_val" localSheetId="3" hidden="1">0</definedName>
    <definedName name="solver_val" localSheetId="9" hidden="1">0</definedName>
    <definedName name="solver_val" localSheetId="1" hidden="1">0</definedName>
    <definedName name="solver_val" localSheetId="13" hidden="1">0</definedName>
    <definedName name="solver_val" localSheetId="2" hidden="1">0</definedName>
    <definedName name="solver_ver" localSheetId="4" hidden="1">2</definedName>
    <definedName name="solver_ver" localSheetId="11" hidden="1">2</definedName>
    <definedName name="solver_ver" localSheetId="3" hidden="1">2</definedName>
    <definedName name="solver_ver" localSheetId="9" hidden="1">2</definedName>
    <definedName name="solver_ver" localSheetId="1" hidden="1">2</definedName>
    <definedName name="solver_ver" localSheetId="13" hidden="1">2</definedName>
    <definedName name="solver_ver" localSheetId="2" hidden="1">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3" i="25" l="1"/>
  <c r="C53" i="25"/>
  <c r="D53" i="25"/>
  <c r="G54" i="25"/>
  <c r="C54" i="25"/>
  <c r="B54" i="25"/>
  <c r="D54" i="25"/>
  <c r="G55" i="25"/>
  <c r="C55" i="25"/>
  <c r="B55" i="25"/>
  <c r="D55" i="25"/>
  <c r="G56" i="25"/>
  <c r="C56" i="25"/>
  <c r="B56" i="25"/>
  <c r="D56" i="25"/>
  <c r="G57" i="25"/>
  <c r="C57" i="25"/>
  <c r="B57" i="25"/>
  <c r="D57" i="25"/>
  <c r="G58" i="25"/>
  <c r="C58" i="25"/>
  <c r="B58" i="25"/>
  <c r="D58" i="25"/>
  <c r="G59" i="25"/>
  <c r="C59" i="25"/>
  <c r="B59" i="25"/>
  <c r="D59" i="25"/>
  <c r="G60" i="25"/>
  <c r="C60" i="25"/>
  <c r="B60" i="25"/>
  <c r="D60" i="25"/>
  <c r="G61" i="25"/>
  <c r="C61" i="25"/>
  <c r="B61" i="25"/>
  <c r="D61" i="25"/>
  <c r="G62" i="25"/>
  <c r="C62" i="25"/>
  <c r="B62" i="25"/>
  <c r="D62" i="25"/>
  <c r="G63" i="25"/>
  <c r="C63" i="25"/>
  <c r="B63" i="25"/>
  <c r="D63" i="25"/>
  <c r="G64" i="25"/>
  <c r="C64" i="25"/>
  <c r="B64" i="25"/>
  <c r="B53" i="25"/>
  <c r="E53" i="25"/>
  <c r="F53" i="25"/>
  <c r="E54" i="25"/>
  <c r="F54" i="25"/>
  <c r="E55" i="25"/>
  <c r="F55" i="25"/>
  <c r="E56" i="25"/>
  <c r="F56" i="25"/>
  <c r="E57" i="25"/>
  <c r="F57" i="25"/>
  <c r="E58" i="25"/>
  <c r="F58" i="25"/>
  <c r="E59" i="25"/>
  <c r="F59" i="25"/>
  <c r="E60" i="25"/>
  <c r="F60" i="25"/>
  <c r="E61" i="25"/>
  <c r="F61" i="25"/>
  <c r="E62" i="25"/>
  <c r="F62" i="25"/>
  <c r="E63" i="25"/>
  <c r="F63" i="25"/>
  <c r="D64" i="25"/>
  <c r="E64" i="25"/>
  <c r="F64" i="25"/>
  <c r="H53" i="25"/>
  <c r="F17" i="25"/>
  <c r="G17" i="25"/>
  <c r="C17" i="25"/>
  <c r="D17" i="25"/>
  <c r="F18" i="25"/>
  <c r="G18" i="25"/>
  <c r="C18" i="25"/>
  <c r="D18" i="25"/>
  <c r="F19" i="25"/>
  <c r="G19" i="25"/>
  <c r="C19" i="25"/>
  <c r="D19" i="25"/>
  <c r="F20" i="25"/>
  <c r="G20" i="25"/>
  <c r="C20" i="25"/>
  <c r="D20" i="25"/>
  <c r="F21" i="25"/>
  <c r="G21" i="25"/>
  <c r="C21" i="25"/>
  <c r="D21" i="25"/>
  <c r="F22" i="25"/>
  <c r="G22" i="25"/>
  <c r="C22" i="25"/>
  <c r="D22" i="25"/>
  <c r="F23" i="25"/>
  <c r="G23" i="25"/>
  <c r="C23" i="25"/>
  <c r="D23" i="25"/>
  <c r="F24" i="25"/>
  <c r="G24" i="25"/>
  <c r="C24" i="25"/>
  <c r="D24" i="25"/>
  <c r="F25" i="25"/>
  <c r="G25" i="25"/>
  <c r="C25" i="25"/>
  <c r="D25" i="25"/>
  <c r="F26" i="25"/>
  <c r="G26" i="25"/>
  <c r="C26" i="25"/>
  <c r="D26" i="25"/>
  <c r="F27" i="25"/>
  <c r="G27" i="25"/>
  <c r="C27" i="25"/>
  <c r="D27" i="25"/>
  <c r="F28" i="25"/>
  <c r="G28" i="25"/>
  <c r="C28" i="25"/>
  <c r="D28" i="25"/>
  <c r="E17" i="25"/>
  <c r="F29" i="25"/>
  <c r="G29" i="25"/>
  <c r="C29" i="25"/>
  <c r="D29" i="25"/>
  <c r="E18" i="25"/>
  <c r="F30" i="25"/>
  <c r="G30" i="25"/>
  <c r="C30" i="25"/>
  <c r="D30" i="25"/>
  <c r="E19" i="25"/>
  <c r="F31" i="25"/>
  <c r="G31" i="25"/>
  <c r="C31" i="25"/>
  <c r="D31" i="25"/>
  <c r="E20" i="25"/>
  <c r="F32" i="25"/>
  <c r="G32" i="25"/>
  <c r="C32" i="25"/>
  <c r="D32" i="25"/>
  <c r="E21" i="25"/>
  <c r="F33" i="25"/>
  <c r="G33" i="25"/>
  <c r="C33" i="25"/>
  <c r="D33" i="25"/>
  <c r="E22" i="25"/>
  <c r="F34" i="25"/>
  <c r="G34" i="25"/>
  <c r="C34" i="25"/>
  <c r="D34" i="25"/>
  <c r="E23" i="25"/>
  <c r="F35" i="25"/>
  <c r="G35" i="25"/>
  <c r="C35" i="25"/>
  <c r="D35" i="25"/>
  <c r="E24" i="25"/>
  <c r="F36" i="25"/>
  <c r="G36" i="25"/>
  <c r="C36" i="25"/>
  <c r="D36" i="25"/>
  <c r="E25" i="25"/>
  <c r="F37" i="25"/>
  <c r="G37" i="25"/>
  <c r="C37" i="25"/>
  <c r="D37" i="25"/>
  <c r="E26" i="25"/>
  <c r="F38" i="25"/>
  <c r="G38" i="25"/>
  <c r="C38" i="25"/>
  <c r="D38" i="25"/>
  <c r="E27" i="25"/>
  <c r="F39" i="25"/>
  <c r="G39" i="25"/>
  <c r="C39" i="25"/>
  <c r="D39" i="25"/>
  <c r="E28" i="25"/>
  <c r="F40" i="25"/>
  <c r="G40" i="25"/>
  <c r="C40" i="25"/>
  <c r="D40" i="25"/>
  <c r="E29" i="25"/>
  <c r="F41" i="25"/>
  <c r="G41" i="25"/>
  <c r="C41" i="25"/>
  <c r="D41" i="25"/>
  <c r="E30" i="25"/>
  <c r="F42" i="25"/>
  <c r="G42" i="25"/>
  <c r="C42" i="25"/>
  <c r="D42" i="25"/>
  <c r="E31" i="25"/>
  <c r="F43" i="25"/>
  <c r="G43" i="25"/>
  <c r="C43" i="25"/>
  <c r="D43" i="25"/>
  <c r="E32" i="25"/>
  <c r="F44" i="25"/>
  <c r="G44" i="25"/>
  <c r="C44" i="25"/>
  <c r="D44" i="25"/>
  <c r="E33" i="25"/>
  <c r="F45" i="25"/>
  <c r="G45" i="25"/>
  <c r="C45" i="25"/>
  <c r="D45" i="25"/>
  <c r="E34" i="25"/>
  <c r="F46" i="25"/>
  <c r="G46" i="25"/>
  <c r="C46" i="25"/>
  <c r="D46" i="25"/>
  <c r="E35" i="25"/>
  <c r="F47" i="25"/>
  <c r="G47" i="25"/>
  <c r="C47" i="25"/>
  <c r="D47" i="25"/>
  <c r="E36" i="25"/>
  <c r="F48" i="25"/>
  <c r="G48" i="25"/>
  <c r="C48" i="25"/>
  <c r="D48" i="25"/>
  <c r="E37" i="25"/>
  <c r="F49" i="25"/>
  <c r="G49" i="25"/>
  <c r="C49" i="25"/>
  <c r="D49" i="25"/>
  <c r="E38" i="25"/>
  <c r="F50" i="25"/>
  <c r="G50" i="25"/>
  <c r="C50" i="25"/>
  <c r="D50" i="25"/>
  <c r="E39" i="25"/>
  <c r="F51" i="25"/>
  <c r="G51" i="25"/>
  <c r="C51" i="25"/>
  <c r="D51" i="25"/>
  <c r="E40" i="25"/>
  <c r="F52" i="25"/>
  <c r="G52" i="25"/>
  <c r="C52" i="25"/>
  <c r="D52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" i="25"/>
  <c r="H2" i="25"/>
  <c r="C64" i="24"/>
  <c r="C63" i="24"/>
  <c r="C62" i="24"/>
  <c r="C61" i="24"/>
  <c r="C60" i="24"/>
  <c r="C59" i="24"/>
  <c r="C58" i="24"/>
  <c r="C57" i="24"/>
  <c r="C56" i="24"/>
  <c r="C55" i="24"/>
  <c r="C54" i="24"/>
  <c r="C53" i="24"/>
  <c r="B56" i="7"/>
  <c r="C17" i="24"/>
  <c r="D17" i="24"/>
  <c r="F18" i="24"/>
  <c r="G18" i="24"/>
  <c r="H18" i="24"/>
  <c r="C18" i="24"/>
  <c r="D18" i="24"/>
  <c r="F19" i="24"/>
  <c r="G19" i="24"/>
  <c r="H19" i="24"/>
  <c r="C19" i="24"/>
  <c r="D19" i="24"/>
  <c r="F20" i="24"/>
  <c r="G20" i="24"/>
  <c r="H20" i="24"/>
  <c r="C20" i="24"/>
  <c r="D20" i="24"/>
  <c r="F21" i="24"/>
  <c r="G21" i="24"/>
  <c r="H21" i="24"/>
  <c r="C21" i="24"/>
  <c r="D21" i="24"/>
  <c r="F22" i="24"/>
  <c r="G22" i="24"/>
  <c r="H22" i="24"/>
  <c r="C22" i="24"/>
  <c r="D22" i="24"/>
  <c r="F23" i="24"/>
  <c r="G23" i="24"/>
  <c r="H23" i="24"/>
  <c r="C23" i="24"/>
  <c r="D23" i="24"/>
  <c r="F24" i="24"/>
  <c r="G24" i="24"/>
  <c r="H24" i="24"/>
  <c r="C24" i="24"/>
  <c r="D24" i="24"/>
  <c r="F25" i="24"/>
  <c r="G25" i="24"/>
  <c r="H25" i="24"/>
  <c r="C25" i="24"/>
  <c r="D25" i="24"/>
  <c r="F26" i="24"/>
  <c r="G26" i="24"/>
  <c r="H26" i="24"/>
  <c r="C26" i="24"/>
  <c r="D26" i="24"/>
  <c r="F27" i="24"/>
  <c r="G27" i="24"/>
  <c r="H27" i="24"/>
  <c r="C27" i="24"/>
  <c r="D27" i="24"/>
  <c r="F28" i="24"/>
  <c r="G28" i="24"/>
  <c r="H28" i="24"/>
  <c r="C28" i="24"/>
  <c r="D28" i="24"/>
  <c r="E17" i="24"/>
  <c r="F29" i="24"/>
  <c r="G29" i="24"/>
  <c r="H29" i="24"/>
  <c r="C29" i="24"/>
  <c r="D29" i="24"/>
  <c r="E18" i="24"/>
  <c r="F30" i="24"/>
  <c r="G30" i="24"/>
  <c r="H30" i="24"/>
  <c r="C30" i="24"/>
  <c r="D30" i="24"/>
  <c r="E19" i="24"/>
  <c r="F31" i="24"/>
  <c r="G31" i="24"/>
  <c r="H31" i="24"/>
  <c r="C31" i="24"/>
  <c r="D31" i="24"/>
  <c r="E20" i="24"/>
  <c r="F32" i="24"/>
  <c r="G32" i="24"/>
  <c r="H32" i="24"/>
  <c r="C32" i="24"/>
  <c r="D32" i="24"/>
  <c r="E21" i="24"/>
  <c r="F33" i="24"/>
  <c r="G33" i="24"/>
  <c r="H33" i="24"/>
  <c r="C33" i="24"/>
  <c r="D33" i="24"/>
  <c r="E22" i="24"/>
  <c r="F34" i="24"/>
  <c r="G34" i="24"/>
  <c r="H34" i="24"/>
  <c r="C34" i="24"/>
  <c r="D34" i="24"/>
  <c r="E23" i="24"/>
  <c r="F35" i="24"/>
  <c r="G35" i="24"/>
  <c r="H35" i="24"/>
  <c r="C35" i="24"/>
  <c r="D35" i="24"/>
  <c r="E24" i="24"/>
  <c r="F36" i="24"/>
  <c r="G36" i="24"/>
  <c r="H36" i="24"/>
  <c r="C36" i="24"/>
  <c r="D36" i="24"/>
  <c r="E25" i="24"/>
  <c r="F37" i="24"/>
  <c r="G37" i="24"/>
  <c r="H37" i="24"/>
  <c r="C37" i="24"/>
  <c r="D37" i="24"/>
  <c r="E26" i="24"/>
  <c r="F38" i="24"/>
  <c r="G38" i="24"/>
  <c r="H38" i="24"/>
  <c r="C38" i="24"/>
  <c r="D38" i="24"/>
  <c r="E27" i="24"/>
  <c r="F39" i="24"/>
  <c r="G39" i="24"/>
  <c r="H39" i="24"/>
  <c r="C39" i="24"/>
  <c r="D39" i="24"/>
  <c r="E28" i="24"/>
  <c r="F40" i="24"/>
  <c r="G40" i="24"/>
  <c r="H40" i="24"/>
  <c r="C40" i="24"/>
  <c r="D40" i="24"/>
  <c r="E29" i="24"/>
  <c r="F41" i="24"/>
  <c r="G41" i="24"/>
  <c r="H41" i="24"/>
  <c r="C41" i="24"/>
  <c r="D41" i="24"/>
  <c r="E30" i="24"/>
  <c r="F42" i="24"/>
  <c r="G42" i="24"/>
  <c r="H42" i="24"/>
  <c r="C42" i="24"/>
  <c r="D42" i="24"/>
  <c r="E31" i="24"/>
  <c r="F43" i="24"/>
  <c r="G43" i="24"/>
  <c r="H43" i="24"/>
  <c r="C43" i="24"/>
  <c r="D43" i="24"/>
  <c r="E32" i="24"/>
  <c r="F44" i="24"/>
  <c r="G44" i="24"/>
  <c r="H44" i="24"/>
  <c r="C44" i="24"/>
  <c r="D44" i="24"/>
  <c r="E33" i="24"/>
  <c r="F45" i="24"/>
  <c r="G45" i="24"/>
  <c r="H45" i="24"/>
  <c r="C45" i="24"/>
  <c r="D45" i="24"/>
  <c r="E34" i="24"/>
  <c r="F46" i="24"/>
  <c r="G46" i="24"/>
  <c r="H46" i="24"/>
  <c r="C46" i="24"/>
  <c r="D46" i="24"/>
  <c r="E35" i="24"/>
  <c r="F47" i="24"/>
  <c r="G47" i="24"/>
  <c r="H47" i="24"/>
  <c r="C47" i="24"/>
  <c r="D47" i="24"/>
  <c r="E36" i="24"/>
  <c r="F48" i="24"/>
  <c r="G48" i="24"/>
  <c r="H48" i="24"/>
  <c r="C48" i="24"/>
  <c r="D48" i="24"/>
  <c r="E37" i="24"/>
  <c r="F49" i="24"/>
  <c r="G49" i="24"/>
  <c r="H49" i="24"/>
  <c r="C49" i="24"/>
  <c r="D49" i="24"/>
  <c r="E38" i="24"/>
  <c r="F50" i="24"/>
  <c r="G50" i="24"/>
  <c r="H50" i="24"/>
  <c r="C50" i="24"/>
  <c r="D50" i="24"/>
  <c r="E39" i="24"/>
  <c r="F51" i="24"/>
  <c r="G51" i="24"/>
  <c r="H51" i="24"/>
  <c r="C51" i="24"/>
  <c r="D51" i="24"/>
  <c r="E40" i="24"/>
  <c r="F52" i="24"/>
  <c r="G52" i="24"/>
  <c r="H52" i="24"/>
  <c r="H1" i="24"/>
  <c r="H2" i="24"/>
  <c r="H17" i="24"/>
  <c r="C52" i="24"/>
  <c r="D52" i="24"/>
  <c r="E52" i="24"/>
  <c r="E51" i="24"/>
  <c r="E50" i="24"/>
  <c r="E49" i="24"/>
  <c r="E48" i="24"/>
  <c r="E47" i="24"/>
  <c r="E46" i="24"/>
  <c r="E45" i="24"/>
  <c r="E44" i="24"/>
  <c r="E43" i="24"/>
  <c r="E42" i="24"/>
  <c r="E41" i="24"/>
  <c r="G17" i="24"/>
  <c r="F17" i="24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2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H3" i="23"/>
  <c r="H2" i="23"/>
  <c r="F19" i="23"/>
  <c r="G19" i="23"/>
  <c r="F18" i="23"/>
  <c r="G18" i="23"/>
  <c r="F17" i="23"/>
  <c r="G17" i="23"/>
  <c r="F16" i="23"/>
  <c r="G16" i="23"/>
  <c r="F15" i="23"/>
  <c r="G15" i="23"/>
  <c r="F14" i="23"/>
  <c r="G14" i="23"/>
  <c r="F13" i="23"/>
  <c r="G13" i="23"/>
  <c r="F12" i="23"/>
  <c r="G12" i="23"/>
  <c r="F11" i="23"/>
  <c r="G11" i="23"/>
  <c r="F10" i="23"/>
  <c r="G10" i="23"/>
  <c r="G9" i="23"/>
  <c r="G8" i="23"/>
  <c r="F9" i="23"/>
  <c r="F8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E40" i="22"/>
  <c r="F40" i="22"/>
  <c r="G40" i="22"/>
  <c r="H40" i="22"/>
  <c r="I40" i="22"/>
  <c r="J40" i="22"/>
  <c r="K40" i="22"/>
  <c r="L40" i="22"/>
  <c r="M40" i="22"/>
  <c r="N40" i="22"/>
  <c r="O40" i="22"/>
  <c r="D40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C38" i="22"/>
  <c r="M3" i="22"/>
  <c r="N3" i="22"/>
  <c r="O3" i="22"/>
  <c r="M4" i="22"/>
  <c r="N4" i="22"/>
  <c r="O4" i="22"/>
  <c r="M5" i="22"/>
  <c r="N5" i="22"/>
  <c r="O5" i="22"/>
  <c r="M6" i="22"/>
  <c r="N6" i="22"/>
  <c r="O6" i="22"/>
  <c r="M7" i="22"/>
  <c r="N7" i="22"/>
  <c r="O7" i="22"/>
  <c r="M8" i="22"/>
  <c r="N8" i="22"/>
  <c r="O8" i="22"/>
  <c r="M9" i="22"/>
  <c r="N9" i="22"/>
  <c r="O9" i="22"/>
  <c r="M10" i="22"/>
  <c r="N10" i="22"/>
  <c r="O10" i="22"/>
  <c r="M11" i="22"/>
  <c r="N11" i="22"/>
  <c r="O11" i="22"/>
  <c r="M12" i="22"/>
  <c r="N12" i="22"/>
  <c r="O12" i="22"/>
  <c r="M13" i="22"/>
  <c r="N13" i="22"/>
  <c r="O13" i="22"/>
  <c r="M14" i="22"/>
  <c r="N14" i="22"/>
  <c r="O14" i="22"/>
  <c r="M15" i="22"/>
  <c r="N15" i="22"/>
  <c r="O15" i="22"/>
  <c r="M16" i="22"/>
  <c r="N16" i="22"/>
  <c r="O16" i="22"/>
  <c r="M17" i="22"/>
  <c r="N17" i="22"/>
  <c r="O17" i="22"/>
  <c r="M18" i="22"/>
  <c r="N18" i="22"/>
  <c r="O18" i="22"/>
  <c r="M19" i="22"/>
  <c r="N19" i="22"/>
  <c r="O19" i="22"/>
  <c r="M20" i="22"/>
  <c r="N20" i="22"/>
  <c r="O20" i="22"/>
  <c r="M21" i="22"/>
  <c r="N21" i="22"/>
  <c r="O21" i="22"/>
  <c r="M22" i="22"/>
  <c r="N22" i="22"/>
  <c r="O22" i="22"/>
  <c r="M23" i="22"/>
  <c r="N23" i="22"/>
  <c r="O23" i="22"/>
  <c r="M24" i="22"/>
  <c r="N24" i="22"/>
  <c r="O24" i="22"/>
  <c r="M25" i="22"/>
  <c r="N25" i="22"/>
  <c r="O25" i="22"/>
  <c r="M26" i="22"/>
  <c r="N26" i="22"/>
  <c r="O26" i="22"/>
  <c r="M27" i="22"/>
  <c r="N27" i="22"/>
  <c r="O27" i="22"/>
  <c r="M28" i="22"/>
  <c r="N28" i="22"/>
  <c r="O28" i="22"/>
  <c r="M29" i="22"/>
  <c r="N29" i="22"/>
  <c r="O29" i="22"/>
  <c r="M30" i="22"/>
  <c r="N30" i="22"/>
  <c r="O30" i="22"/>
  <c r="M31" i="22"/>
  <c r="N31" i="22"/>
  <c r="O31" i="22"/>
  <c r="M32" i="22"/>
  <c r="N32" i="22"/>
  <c r="O32" i="22"/>
  <c r="M33" i="22"/>
  <c r="N33" i="22"/>
  <c r="O33" i="22"/>
  <c r="M34" i="22"/>
  <c r="N34" i="22"/>
  <c r="O34" i="22"/>
  <c r="M35" i="22"/>
  <c r="N35" i="22"/>
  <c r="O35" i="22"/>
  <c r="M36" i="22"/>
  <c r="N36" i="22"/>
  <c r="O36" i="22"/>
  <c r="M37" i="22"/>
  <c r="N37" i="22"/>
  <c r="O37" i="22"/>
  <c r="F3" i="22"/>
  <c r="G3" i="22"/>
  <c r="H3" i="22"/>
  <c r="I3" i="22"/>
  <c r="J3" i="22"/>
  <c r="K3" i="22"/>
  <c r="L3" i="22"/>
  <c r="G4" i="22"/>
  <c r="H4" i="22"/>
  <c r="I4" i="22"/>
  <c r="J4" i="22"/>
  <c r="K4" i="22"/>
  <c r="L4" i="22"/>
  <c r="G5" i="22"/>
  <c r="H5" i="22"/>
  <c r="I5" i="22"/>
  <c r="J5" i="22"/>
  <c r="K5" i="22"/>
  <c r="L5" i="22"/>
  <c r="G6" i="22"/>
  <c r="H6" i="22"/>
  <c r="I6" i="22"/>
  <c r="J6" i="22"/>
  <c r="K6" i="22"/>
  <c r="L6" i="22"/>
  <c r="G7" i="22"/>
  <c r="H7" i="22"/>
  <c r="I7" i="22"/>
  <c r="J7" i="22"/>
  <c r="K7" i="22"/>
  <c r="L7" i="22"/>
  <c r="G8" i="22"/>
  <c r="H8" i="22"/>
  <c r="I8" i="22"/>
  <c r="J8" i="22"/>
  <c r="K8" i="22"/>
  <c r="L8" i="22"/>
  <c r="G9" i="22"/>
  <c r="H9" i="22"/>
  <c r="I9" i="22"/>
  <c r="J9" i="22"/>
  <c r="K9" i="22"/>
  <c r="L9" i="22"/>
  <c r="G10" i="22"/>
  <c r="H10" i="22"/>
  <c r="I10" i="22"/>
  <c r="J10" i="22"/>
  <c r="K10" i="22"/>
  <c r="L10" i="22"/>
  <c r="G11" i="22"/>
  <c r="H11" i="22"/>
  <c r="I11" i="22"/>
  <c r="J11" i="22"/>
  <c r="K11" i="22"/>
  <c r="L11" i="22"/>
  <c r="G12" i="22"/>
  <c r="H12" i="22"/>
  <c r="I12" i="22"/>
  <c r="J12" i="22"/>
  <c r="K12" i="22"/>
  <c r="L12" i="22"/>
  <c r="G13" i="22"/>
  <c r="H13" i="22"/>
  <c r="I13" i="22"/>
  <c r="J13" i="22"/>
  <c r="K13" i="22"/>
  <c r="L13" i="22"/>
  <c r="G14" i="22"/>
  <c r="H14" i="22"/>
  <c r="I14" i="22"/>
  <c r="J14" i="22"/>
  <c r="K14" i="22"/>
  <c r="L14" i="22"/>
  <c r="G15" i="22"/>
  <c r="H15" i="22"/>
  <c r="I15" i="22"/>
  <c r="J15" i="22"/>
  <c r="K15" i="22"/>
  <c r="L15" i="22"/>
  <c r="G16" i="22"/>
  <c r="H16" i="22"/>
  <c r="I16" i="22"/>
  <c r="J16" i="22"/>
  <c r="K16" i="22"/>
  <c r="L16" i="22"/>
  <c r="G17" i="22"/>
  <c r="H17" i="22"/>
  <c r="I17" i="22"/>
  <c r="J17" i="22"/>
  <c r="K17" i="22"/>
  <c r="L17" i="22"/>
  <c r="G18" i="22"/>
  <c r="H18" i="22"/>
  <c r="I18" i="22"/>
  <c r="J18" i="22"/>
  <c r="K18" i="22"/>
  <c r="L18" i="22"/>
  <c r="G19" i="22"/>
  <c r="H19" i="22"/>
  <c r="I19" i="22"/>
  <c r="J19" i="22"/>
  <c r="K19" i="22"/>
  <c r="L19" i="22"/>
  <c r="G20" i="22"/>
  <c r="H20" i="22"/>
  <c r="I20" i="22"/>
  <c r="J20" i="22"/>
  <c r="K20" i="22"/>
  <c r="L20" i="22"/>
  <c r="G21" i="22"/>
  <c r="H21" i="22"/>
  <c r="I21" i="22"/>
  <c r="J21" i="22"/>
  <c r="K21" i="22"/>
  <c r="L21" i="22"/>
  <c r="G22" i="22"/>
  <c r="H22" i="22"/>
  <c r="I22" i="22"/>
  <c r="J22" i="22"/>
  <c r="K22" i="22"/>
  <c r="L22" i="22"/>
  <c r="G23" i="22"/>
  <c r="H23" i="22"/>
  <c r="I23" i="22"/>
  <c r="J23" i="22"/>
  <c r="K23" i="22"/>
  <c r="L23" i="22"/>
  <c r="G24" i="22"/>
  <c r="H24" i="22"/>
  <c r="I24" i="22"/>
  <c r="J24" i="22"/>
  <c r="K24" i="22"/>
  <c r="L24" i="22"/>
  <c r="G25" i="22"/>
  <c r="H25" i="22"/>
  <c r="I25" i="22"/>
  <c r="J25" i="22"/>
  <c r="K25" i="22"/>
  <c r="L25" i="22"/>
  <c r="G26" i="22"/>
  <c r="H26" i="22"/>
  <c r="I26" i="22"/>
  <c r="J26" i="22"/>
  <c r="K26" i="22"/>
  <c r="L26" i="22"/>
  <c r="G27" i="22"/>
  <c r="H27" i="22"/>
  <c r="I27" i="22"/>
  <c r="J27" i="22"/>
  <c r="K27" i="22"/>
  <c r="L27" i="22"/>
  <c r="G28" i="22"/>
  <c r="H28" i="22"/>
  <c r="I28" i="22"/>
  <c r="J28" i="22"/>
  <c r="K28" i="22"/>
  <c r="L28" i="22"/>
  <c r="G29" i="22"/>
  <c r="H29" i="22"/>
  <c r="I29" i="22"/>
  <c r="J29" i="22"/>
  <c r="K29" i="22"/>
  <c r="L29" i="22"/>
  <c r="G30" i="22"/>
  <c r="H30" i="22"/>
  <c r="I30" i="22"/>
  <c r="J30" i="22"/>
  <c r="K30" i="22"/>
  <c r="L30" i="22"/>
  <c r="G31" i="22"/>
  <c r="H31" i="22"/>
  <c r="I31" i="22"/>
  <c r="J31" i="22"/>
  <c r="K31" i="22"/>
  <c r="L31" i="22"/>
  <c r="G32" i="22"/>
  <c r="H32" i="22"/>
  <c r="I32" i="22"/>
  <c r="J32" i="22"/>
  <c r="K32" i="22"/>
  <c r="L32" i="22"/>
  <c r="G33" i="22"/>
  <c r="H33" i="22"/>
  <c r="I33" i="22"/>
  <c r="J33" i="22"/>
  <c r="K33" i="22"/>
  <c r="L33" i="22"/>
  <c r="G34" i="22"/>
  <c r="H34" i="22"/>
  <c r="I34" i="22"/>
  <c r="J34" i="22"/>
  <c r="K34" i="22"/>
  <c r="L34" i="22"/>
  <c r="G35" i="22"/>
  <c r="H35" i="22"/>
  <c r="I35" i="22"/>
  <c r="J35" i="22"/>
  <c r="K35" i="22"/>
  <c r="L35" i="22"/>
  <c r="G36" i="22"/>
  <c r="H36" i="22"/>
  <c r="I36" i="22"/>
  <c r="J36" i="22"/>
  <c r="K36" i="22"/>
  <c r="L36" i="22"/>
  <c r="G37" i="22"/>
  <c r="H37" i="22"/>
  <c r="I37" i="22"/>
  <c r="J37" i="22"/>
  <c r="K37" i="22"/>
  <c r="L37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B38" i="22"/>
  <c r="C3" i="22"/>
  <c r="D4" i="22"/>
  <c r="C4" i="22"/>
  <c r="D5" i="22"/>
  <c r="C5" i="22"/>
  <c r="D6" i="22"/>
  <c r="C6" i="22"/>
  <c r="D7" i="22"/>
  <c r="C7" i="22"/>
  <c r="D8" i="22"/>
  <c r="C8" i="22"/>
  <c r="D9" i="22"/>
  <c r="C9" i="22"/>
  <c r="D10" i="22"/>
  <c r="C10" i="22"/>
  <c r="D11" i="22"/>
  <c r="C11" i="22"/>
  <c r="D12" i="22"/>
  <c r="C12" i="22"/>
  <c r="D13" i="22"/>
  <c r="C13" i="22"/>
  <c r="D14" i="22"/>
  <c r="C14" i="22"/>
  <c r="D15" i="22"/>
  <c r="C15" i="22"/>
  <c r="D16" i="22"/>
  <c r="C16" i="22"/>
  <c r="D17" i="22"/>
  <c r="C17" i="22"/>
  <c r="D18" i="22"/>
  <c r="C18" i="22"/>
  <c r="D19" i="22"/>
  <c r="C19" i="22"/>
  <c r="D20" i="22"/>
  <c r="C20" i="22"/>
  <c r="D21" i="22"/>
  <c r="C21" i="22"/>
  <c r="D22" i="22"/>
  <c r="C22" i="22"/>
  <c r="D23" i="22"/>
  <c r="C23" i="22"/>
  <c r="D24" i="22"/>
  <c r="C24" i="22"/>
  <c r="D25" i="22"/>
  <c r="C25" i="22"/>
  <c r="D26" i="22"/>
  <c r="C26" i="22"/>
  <c r="D27" i="22"/>
  <c r="C27" i="22"/>
  <c r="D28" i="22"/>
  <c r="C28" i="22"/>
  <c r="D29" i="22"/>
  <c r="C29" i="22"/>
  <c r="D30" i="22"/>
  <c r="C30" i="22"/>
  <c r="D31" i="22"/>
  <c r="C31" i="22"/>
  <c r="D32" i="22"/>
  <c r="C32" i="22"/>
  <c r="D33" i="22"/>
  <c r="C33" i="22"/>
  <c r="D34" i="22"/>
  <c r="C34" i="22"/>
  <c r="D35" i="22"/>
  <c r="C35" i="22"/>
  <c r="D36" i="22"/>
  <c r="C36" i="22"/>
  <c r="D37" i="22"/>
  <c r="C37" i="22"/>
  <c r="C2" i="22"/>
  <c r="D3" i="22"/>
  <c r="B43" i="21"/>
  <c r="B44" i="21"/>
  <c r="B45" i="21"/>
  <c r="B46" i="21"/>
  <c r="B47" i="21"/>
  <c r="B48" i="21"/>
  <c r="B49" i="21"/>
  <c r="B50" i="21"/>
  <c r="B51" i="21"/>
  <c r="B52" i="21"/>
  <c r="B53" i="21"/>
  <c r="B42" i="21"/>
  <c r="C6" i="21"/>
  <c r="D6" i="21"/>
  <c r="E7" i="21"/>
  <c r="F7" i="21"/>
  <c r="G7" i="21"/>
  <c r="C7" i="21"/>
  <c r="D7" i="21"/>
  <c r="E8" i="21"/>
  <c r="F8" i="21"/>
  <c r="G8" i="21"/>
  <c r="C8" i="21"/>
  <c r="D8" i="21"/>
  <c r="E9" i="21"/>
  <c r="F9" i="21"/>
  <c r="G9" i="21"/>
  <c r="C9" i="21"/>
  <c r="D9" i="21"/>
  <c r="E10" i="21"/>
  <c r="F10" i="21"/>
  <c r="G10" i="21"/>
  <c r="C10" i="21"/>
  <c r="D10" i="21"/>
  <c r="E11" i="21"/>
  <c r="F11" i="21"/>
  <c r="G11" i="21"/>
  <c r="C11" i="21"/>
  <c r="D11" i="21"/>
  <c r="E12" i="21"/>
  <c r="F12" i="21"/>
  <c r="G12" i="21"/>
  <c r="C12" i="21"/>
  <c r="D12" i="21"/>
  <c r="E13" i="21"/>
  <c r="F13" i="21"/>
  <c r="G13" i="21"/>
  <c r="C13" i="21"/>
  <c r="D13" i="21"/>
  <c r="E14" i="21"/>
  <c r="F14" i="21"/>
  <c r="G14" i="21"/>
  <c r="C14" i="21"/>
  <c r="D14" i="21"/>
  <c r="E15" i="21"/>
  <c r="F15" i="21"/>
  <c r="G15" i="21"/>
  <c r="C15" i="21"/>
  <c r="D15" i="21"/>
  <c r="E16" i="21"/>
  <c r="F16" i="21"/>
  <c r="G16" i="21"/>
  <c r="C16" i="21"/>
  <c r="D16" i="21"/>
  <c r="E17" i="21"/>
  <c r="F17" i="21"/>
  <c r="G17" i="21"/>
  <c r="C17" i="21"/>
  <c r="D17" i="21"/>
  <c r="E18" i="21"/>
  <c r="F18" i="21"/>
  <c r="G18" i="21"/>
  <c r="C18" i="21"/>
  <c r="D18" i="21"/>
  <c r="E19" i="21"/>
  <c r="F19" i="21"/>
  <c r="G19" i="21"/>
  <c r="C19" i="21"/>
  <c r="D19" i="21"/>
  <c r="E20" i="21"/>
  <c r="F20" i="21"/>
  <c r="G20" i="21"/>
  <c r="C20" i="21"/>
  <c r="D20" i="21"/>
  <c r="E21" i="21"/>
  <c r="F21" i="21"/>
  <c r="G21" i="21"/>
  <c r="C21" i="21"/>
  <c r="D21" i="21"/>
  <c r="E22" i="21"/>
  <c r="F22" i="21"/>
  <c r="G22" i="21"/>
  <c r="C22" i="21"/>
  <c r="D22" i="21"/>
  <c r="E23" i="21"/>
  <c r="F23" i="21"/>
  <c r="G23" i="21"/>
  <c r="C23" i="21"/>
  <c r="D23" i="21"/>
  <c r="E24" i="21"/>
  <c r="F24" i="21"/>
  <c r="G24" i="21"/>
  <c r="C24" i="21"/>
  <c r="D24" i="21"/>
  <c r="E25" i="21"/>
  <c r="F25" i="21"/>
  <c r="G25" i="21"/>
  <c r="C25" i="21"/>
  <c r="D25" i="21"/>
  <c r="E26" i="21"/>
  <c r="F26" i="21"/>
  <c r="G26" i="21"/>
  <c r="C26" i="21"/>
  <c r="D26" i="21"/>
  <c r="E27" i="21"/>
  <c r="F27" i="21"/>
  <c r="G27" i="21"/>
  <c r="C27" i="21"/>
  <c r="D27" i="21"/>
  <c r="E28" i="21"/>
  <c r="F28" i="21"/>
  <c r="G28" i="21"/>
  <c r="C28" i="21"/>
  <c r="D28" i="21"/>
  <c r="E29" i="21"/>
  <c r="F29" i="21"/>
  <c r="G29" i="21"/>
  <c r="C29" i="21"/>
  <c r="D29" i="21"/>
  <c r="E30" i="21"/>
  <c r="F30" i="21"/>
  <c r="G30" i="21"/>
  <c r="C30" i="21"/>
  <c r="D30" i="21"/>
  <c r="E31" i="21"/>
  <c r="F31" i="21"/>
  <c r="G31" i="21"/>
  <c r="C31" i="21"/>
  <c r="D31" i="21"/>
  <c r="E32" i="21"/>
  <c r="F32" i="21"/>
  <c r="G32" i="21"/>
  <c r="C32" i="21"/>
  <c r="D32" i="21"/>
  <c r="E33" i="21"/>
  <c r="F33" i="21"/>
  <c r="G33" i="21"/>
  <c r="C33" i="21"/>
  <c r="D33" i="21"/>
  <c r="E34" i="21"/>
  <c r="F34" i="21"/>
  <c r="G34" i="21"/>
  <c r="C34" i="21"/>
  <c r="D34" i="21"/>
  <c r="E35" i="21"/>
  <c r="F35" i="21"/>
  <c r="G35" i="21"/>
  <c r="C35" i="21"/>
  <c r="D35" i="21"/>
  <c r="E36" i="21"/>
  <c r="F36" i="21"/>
  <c r="G36" i="21"/>
  <c r="C36" i="21"/>
  <c r="D36" i="21"/>
  <c r="E37" i="21"/>
  <c r="F37" i="21"/>
  <c r="G37" i="21"/>
  <c r="C37" i="21"/>
  <c r="D37" i="21"/>
  <c r="E38" i="21"/>
  <c r="F38" i="21"/>
  <c r="G38" i="21"/>
  <c r="C38" i="21"/>
  <c r="D38" i="21"/>
  <c r="E39" i="21"/>
  <c r="F39" i="21"/>
  <c r="G39" i="21"/>
  <c r="C39" i="21"/>
  <c r="D39" i="21"/>
  <c r="E40" i="21"/>
  <c r="F40" i="21"/>
  <c r="G40" i="21"/>
  <c r="C40" i="21"/>
  <c r="D40" i="21"/>
  <c r="E41" i="21"/>
  <c r="F41" i="21"/>
  <c r="G41" i="21"/>
  <c r="G1" i="21"/>
  <c r="G2" i="21"/>
  <c r="G6" i="21"/>
  <c r="C41" i="21"/>
  <c r="D41" i="21"/>
  <c r="E6" i="21"/>
  <c r="F6" i="21"/>
  <c r="D56" i="20"/>
  <c r="B58" i="20"/>
  <c r="B57" i="20"/>
  <c r="B56" i="20"/>
  <c r="C5" i="20"/>
  <c r="D6" i="20"/>
  <c r="E6" i="20"/>
  <c r="C6" i="20"/>
  <c r="D7" i="20"/>
  <c r="E7" i="20"/>
  <c r="C7" i="20"/>
  <c r="D8" i="20"/>
  <c r="E8" i="20"/>
  <c r="C8" i="20"/>
  <c r="D9" i="20"/>
  <c r="E9" i="20"/>
  <c r="C9" i="20"/>
  <c r="D10" i="20"/>
  <c r="E10" i="20"/>
  <c r="C10" i="20"/>
  <c r="D11" i="20"/>
  <c r="E11" i="20"/>
  <c r="C11" i="20"/>
  <c r="D12" i="20"/>
  <c r="E12" i="20"/>
  <c r="C12" i="20"/>
  <c r="D13" i="20"/>
  <c r="E13" i="20"/>
  <c r="C13" i="20"/>
  <c r="D14" i="20"/>
  <c r="E14" i="20"/>
  <c r="C14" i="20"/>
  <c r="D15" i="20"/>
  <c r="E15" i="20"/>
  <c r="C15" i="20"/>
  <c r="D16" i="20"/>
  <c r="E16" i="20"/>
  <c r="C16" i="20"/>
  <c r="D17" i="20"/>
  <c r="E17" i="20"/>
  <c r="C17" i="20"/>
  <c r="D18" i="20"/>
  <c r="E18" i="20"/>
  <c r="C18" i="20"/>
  <c r="D19" i="20"/>
  <c r="E19" i="20"/>
  <c r="C19" i="20"/>
  <c r="D20" i="20"/>
  <c r="E20" i="20"/>
  <c r="C20" i="20"/>
  <c r="D21" i="20"/>
  <c r="E21" i="20"/>
  <c r="C21" i="20"/>
  <c r="D22" i="20"/>
  <c r="E22" i="20"/>
  <c r="C22" i="20"/>
  <c r="D23" i="20"/>
  <c r="E23" i="20"/>
  <c r="C23" i="20"/>
  <c r="D24" i="20"/>
  <c r="E24" i="20"/>
  <c r="C24" i="20"/>
  <c r="D25" i="20"/>
  <c r="E25" i="20"/>
  <c r="C25" i="20"/>
  <c r="D26" i="20"/>
  <c r="E26" i="20"/>
  <c r="C26" i="20"/>
  <c r="D27" i="20"/>
  <c r="E27" i="20"/>
  <c r="C27" i="20"/>
  <c r="D28" i="20"/>
  <c r="E28" i="20"/>
  <c r="C28" i="20"/>
  <c r="D29" i="20"/>
  <c r="E29" i="20"/>
  <c r="C29" i="20"/>
  <c r="D30" i="20"/>
  <c r="E30" i="20"/>
  <c r="C30" i="20"/>
  <c r="D31" i="20"/>
  <c r="E31" i="20"/>
  <c r="C31" i="20"/>
  <c r="D32" i="20"/>
  <c r="E32" i="20"/>
  <c r="C32" i="20"/>
  <c r="D33" i="20"/>
  <c r="E33" i="20"/>
  <c r="C33" i="20"/>
  <c r="D34" i="20"/>
  <c r="E34" i="20"/>
  <c r="C34" i="20"/>
  <c r="D35" i="20"/>
  <c r="E35" i="20"/>
  <c r="C35" i="20"/>
  <c r="D36" i="20"/>
  <c r="E36" i="20"/>
  <c r="C36" i="20"/>
  <c r="D37" i="20"/>
  <c r="E37" i="20"/>
  <c r="C37" i="20"/>
  <c r="D38" i="20"/>
  <c r="E38" i="20"/>
  <c r="C38" i="20"/>
  <c r="D39" i="20"/>
  <c r="E39" i="20"/>
  <c r="C39" i="20"/>
  <c r="D40" i="20"/>
  <c r="E40" i="20"/>
  <c r="C40" i="20"/>
  <c r="D41" i="20"/>
  <c r="E41" i="20"/>
  <c r="C41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6" i="20"/>
  <c r="E2" i="20"/>
  <c r="F2" i="20"/>
  <c r="B41" i="2"/>
  <c r="B40" i="2"/>
  <c r="B39" i="2"/>
  <c r="B42" i="2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/>
  <c r="G5" i="6"/>
  <c r="H6" i="6"/>
  <c r="I7" i="6"/>
  <c r="J8" i="6"/>
  <c r="K9" i="6"/>
  <c r="L10" i="6"/>
  <c r="M11" i="6"/>
  <c r="N12" i="6"/>
  <c r="O13" i="6"/>
  <c r="F3" i="6"/>
  <c r="G3" i="6"/>
  <c r="H4" i="6"/>
  <c r="I5" i="6"/>
  <c r="J6" i="6"/>
  <c r="K7" i="6"/>
  <c r="L8" i="6"/>
  <c r="M9" i="6"/>
  <c r="N10" i="6"/>
  <c r="O11" i="6"/>
  <c r="H3" i="6"/>
  <c r="I3" i="6"/>
  <c r="J4" i="6"/>
  <c r="K5" i="6"/>
  <c r="L6" i="6"/>
  <c r="M7" i="6"/>
  <c r="N8" i="6"/>
  <c r="O9" i="6"/>
  <c r="J3" i="6"/>
  <c r="K3" i="6"/>
  <c r="L4" i="6"/>
  <c r="M5" i="6"/>
  <c r="L3" i="6"/>
  <c r="M3" i="6"/>
  <c r="N4" i="6"/>
  <c r="O5" i="6"/>
  <c r="N3" i="6"/>
  <c r="O3" i="6"/>
  <c r="G4" i="6"/>
  <c r="I4" i="6"/>
  <c r="K4" i="6"/>
  <c r="M4" i="6"/>
  <c r="O4" i="6"/>
  <c r="H5" i="6"/>
  <c r="J5" i="6"/>
  <c r="L5" i="6"/>
  <c r="M6" i="6"/>
  <c r="N7" i="6"/>
  <c r="N5" i="6"/>
  <c r="I6" i="6"/>
  <c r="J7" i="6"/>
  <c r="K8" i="6"/>
  <c r="L9" i="6"/>
  <c r="M10" i="6"/>
  <c r="N11" i="6"/>
  <c r="O12" i="6"/>
  <c r="K6" i="6"/>
  <c r="N6" i="6"/>
  <c r="O7" i="6"/>
  <c r="O6" i="6"/>
  <c r="L7" i="6"/>
  <c r="M8" i="6"/>
  <c r="O8" i="6"/>
  <c r="N9" i="6"/>
  <c r="O10" i="6"/>
  <c r="I14" i="6"/>
  <c r="J15" i="6"/>
  <c r="K16" i="6"/>
  <c r="L17" i="6"/>
  <c r="M18" i="6"/>
  <c r="N19" i="6"/>
  <c r="O20" i="6"/>
  <c r="J16" i="6"/>
  <c r="K17" i="6"/>
  <c r="L18" i="6"/>
  <c r="E19" i="6"/>
  <c r="F20" i="6"/>
  <c r="G21" i="6"/>
  <c r="H22" i="6"/>
  <c r="I23" i="6"/>
  <c r="J24" i="6"/>
  <c r="K25" i="6"/>
  <c r="L26" i="6"/>
  <c r="M27" i="6"/>
  <c r="N28" i="6"/>
  <c r="O29" i="6"/>
  <c r="M19" i="6"/>
  <c r="N20" i="6"/>
  <c r="O21" i="6"/>
  <c r="L21" i="6"/>
  <c r="M22" i="6"/>
  <c r="N23" i="6"/>
  <c r="O24" i="6"/>
  <c r="G24" i="6"/>
  <c r="H25" i="6"/>
  <c r="I26" i="6"/>
  <c r="J27" i="6"/>
  <c r="K28" i="6"/>
  <c r="L29" i="6"/>
  <c r="M30" i="6"/>
  <c r="N31" i="6"/>
  <c r="O32" i="6"/>
  <c r="N24" i="6"/>
  <c r="O25" i="6"/>
  <c r="M26" i="6"/>
  <c r="N27" i="6"/>
  <c r="O28" i="6"/>
  <c r="I29" i="6"/>
  <c r="J30" i="6"/>
  <c r="K31" i="6"/>
  <c r="L32" i="6"/>
  <c r="M33" i="6"/>
  <c r="N34" i="6"/>
  <c r="O35" i="6"/>
  <c r="I31" i="6"/>
  <c r="J32" i="6"/>
  <c r="K33" i="6"/>
  <c r="L34" i="6"/>
  <c r="M35" i="6"/>
  <c r="N36" i="6"/>
  <c r="O37" i="6"/>
  <c r="E33" i="6"/>
  <c r="F34" i="6"/>
  <c r="G35" i="6"/>
  <c r="H36" i="6"/>
  <c r="I37" i="6"/>
  <c r="B38" i="6"/>
  <c r="C2" i="6"/>
  <c r="D3" i="6"/>
  <c r="E4" i="6"/>
  <c r="F5" i="6"/>
  <c r="G6" i="6"/>
  <c r="H7" i="6"/>
  <c r="I8" i="6"/>
  <c r="J9" i="6"/>
  <c r="K10" i="6"/>
  <c r="L11" i="6"/>
  <c r="M12" i="6"/>
  <c r="N13" i="6"/>
  <c r="O14" i="6"/>
  <c r="C3" i="6"/>
  <c r="D4" i="6"/>
  <c r="E5" i="6"/>
  <c r="F6" i="6"/>
  <c r="G7" i="6"/>
  <c r="H8" i="6"/>
  <c r="I9" i="6"/>
  <c r="J10" i="6"/>
  <c r="K11" i="6"/>
  <c r="L12" i="6"/>
  <c r="M13" i="6"/>
  <c r="N14" i="6"/>
  <c r="O15" i="6"/>
  <c r="C4" i="6"/>
  <c r="D5" i="6"/>
  <c r="E6" i="6"/>
  <c r="F7" i="6"/>
  <c r="G8" i="6"/>
  <c r="H9" i="6"/>
  <c r="I10" i="6"/>
  <c r="J11" i="6"/>
  <c r="K12" i="6"/>
  <c r="L13" i="6"/>
  <c r="M14" i="6"/>
  <c r="N15" i="6"/>
  <c r="O16" i="6"/>
  <c r="C5" i="6"/>
  <c r="D6" i="6"/>
  <c r="E7" i="6"/>
  <c r="F8" i="6"/>
  <c r="G9" i="6"/>
  <c r="H10" i="6"/>
  <c r="I11" i="6"/>
  <c r="J12" i="6"/>
  <c r="K13" i="6"/>
  <c r="L14" i="6"/>
  <c r="M15" i="6"/>
  <c r="N16" i="6"/>
  <c r="O17" i="6"/>
  <c r="C6" i="6"/>
  <c r="D7" i="6"/>
  <c r="E8" i="6"/>
  <c r="F9" i="6"/>
  <c r="G10" i="6"/>
  <c r="H11" i="6"/>
  <c r="I12" i="6"/>
  <c r="J13" i="6"/>
  <c r="K14" i="6"/>
  <c r="L15" i="6"/>
  <c r="M16" i="6"/>
  <c r="N17" i="6"/>
  <c r="O18" i="6"/>
  <c r="C7" i="6"/>
  <c r="D8" i="6"/>
  <c r="E9" i="6"/>
  <c r="F10" i="6"/>
  <c r="G11" i="6"/>
  <c r="H12" i="6"/>
  <c r="I13" i="6"/>
  <c r="C8" i="6"/>
  <c r="D9" i="6"/>
  <c r="E10" i="6"/>
  <c r="F11" i="6"/>
  <c r="G12" i="6"/>
  <c r="H13" i="6"/>
  <c r="C9" i="6"/>
  <c r="D10" i="6"/>
  <c r="E11" i="6"/>
  <c r="F12" i="6"/>
  <c r="G13" i="6"/>
  <c r="H14" i="6"/>
  <c r="I15" i="6"/>
  <c r="C10" i="6"/>
  <c r="D11" i="6"/>
  <c r="E12" i="6"/>
  <c r="F13" i="6"/>
  <c r="G14" i="6"/>
  <c r="H15" i="6"/>
  <c r="I16" i="6"/>
  <c r="J17" i="6"/>
  <c r="K18" i="6"/>
  <c r="L19" i="6"/>
  <c r="M20" i="6"/>
  <c r="N21" i="6"/>
  <c r="O22" i="6"/>
  <c r="C11" i="6"/>
  <c r="D12" i="6"/>
  <c r="E13" i="6"/>
  <c r="F14" i="6"/>
  <c r="G15" i="6"/>
  <c r="H16" i="6"/>
  <c r="I17" i="6"/>
  <c r="J18" i="6"/>
  <c r="K19" i="6"/>
  <c r="L20" i="6"/>
  <c r="M21" i="6"/>
  <c r="N22" i="6"/>
  <c r="O23" i="6"/>
  <c r="C12" i="6"/>
  <c r="D13" i="6"/>
  <c r="E14" i="6"/>
  <c r="F15" i="6"/>
  <c r="G16" i="6"/>
  <c r="H17" i="6"/>
  <c r="I18" i="6"/>
  <c r="J19" i="6"/>
  <c r="K20" i="6"/>
  <c r="C13" i="6"/>
  <c r="D14" i="6"/>
  <c r="E15" i="6"/>
  <c r="F16" i="6"/>
  <c r="G17" i="6"/>
  <c r="H18" i="6"/>
  <c r="I19" i="6"/>
  <c r="J20" i="6"/>
  <c r="K21" i="6"/>
  <c r="L22" i="6"/>
  <c r="M23" i="6"/>
  <c r="C14" i="6"/>
  <c r="D15" i="6"/>
  <c r="E16" i="6"/>
  <c r="F17" i="6"/>
  <c r="G18" i="6"/>
  <c r="H19" i="6"/>
  <c r="I20" i="6"/>
  <c r="J21" i="6"/>
  <c r="K22" i="6"/>
  <c r="L23" i="6"/>
  <c r="M24" i="6"/>
  <c r="N25" i="6"/>
  <c r="O26" i="6"/>
  <c r="C15" i="6"/>
  <c r="D16" i="6"/>
  <c r="E17" i="6"/>
  <c r="C16" i="6"/>
  <c r="D17" i="6"/>
  <c r="E18" i="6"/>
  <c r="F19" i="6"/>
  <c r="G20" i="6"/>
  <c r="H21" i="6"/>
  <c r="I22" i="6"/>
  <c r="J23" i="6"/>
  <c r="K24" i="6"/>
  <c r="L25" i="6"/>
  <c r="C17" i="6"/>
  <c r="D18" i="6"/>
  <c r="C18" i="6"/>
  <c r="D19" i="6"/>
  <c r="E20" i="6"/>
  <c r="F21" i="6"/>
  <c r="G22" i="6"/>
  <c r="H23" i="6"/>
  <c r="I24" i="6"/>
  <c r="J25" i="6"/>
  <c r="K26" i="6"/>
  <c r="L27" i="6"/>
  <c r="M28" i="6"/>
  <c r="N29" i="6"/>
  <c r="O30" i="6"/>
  <c r="C19" i="6"/>
  <c r="D20" i="6"/>
  <c r="E21" i="6"/>
  <c r="F22" i="6"/>
  <c r="G23" i="6"/>
  <c r="H24" i="6"/>
  <c r="I25" i="6"/>
  <c r="J26" i="6"/>
  <c r="K27" i="6"/>
  <c r="L28" i="6"/>
  <c r="M29" i="6"/>
  <c r="N30" i="6"/>
  <c r="O31" i="6"/>
  <c r="C20" i="6"/>
  <c r="D21" i="6"/>
  <c r="E22" i="6"/>
  <c r="F23" i="6"/>
  <c r="C21" i="6"/>
  <c r="D22" i="6"/>
  <c r="E23" i="6"/>
  <c r="F24" i="6"/>
  <c r="G25" i="6"/>
  <c r="H26" i="6"/>
  <c r="I27" i="6"/>
  <c r="J28" i="6"/>
  <c r="K29" i="6"/>
  <c r="L30" i="6"/>
  <c r="M31" i="6"/>
  <c r="N32" i="6"/>
  <c r="O33" i="6"/>
  <c r="C22" i="6"/>
  <c r="D23" i="6"/>
  <c r="E24" i="6"/>
  <c r="F25" i="6"/>
  <c r="G26" i="6"/>
  <c r="H27" i="6"/>
  <c r="I28" i="6"/>
  <c r="J29" i="6"/>
  <c r="K30" i="6"/>
  <c r="L31" i="6"/>
  <c r="M32" i="6"/>
  <c r="N33" i="6"/>
  <c r="O34" i="6"/>
  <c r="C23" i="6"/>
  <c r="D24" i="6"/>
  <c r="E25" i="6"/>
  <c r="F26" i="6"/>
  <c r="G27" i="6"/>
  <c r="H28" i="6"/>
  <c r="C24" i="6"/>
  <c r="D25" i="6"/>
  <c r="E26" i="6"/>
  <c r="F27" i="6"/>
  <c r="G28" i="6"/>
  <c r="H29" i="6"/>
  <c r="I30" i="6"/>
  <c r="J31" i="6"/>
  <c r="K32" i="6"/>
  <c r="L33" i="6"/>
  <c r="M34" i="6"/>
  <c r="N35" i="6"/>
  <c r="O36" i="6"/>
  <c r="C25" i="6"/>
  <c r="D26" i="6"/>
  <c r="E27" i="6"/>
  <c r="F28" i="6"/>
  <c r="G29" i="6"/>
  <c r="H30" i="6"/>
  <c r="C26" i="6"/>
  <c r="D27" i="6"/>
  <c r="E28" i="6"/>
  <c r="F29" i="6"/>
  <c r="G30" i="6"/>
  <c r="H31" i="6"/>
  <c r="I32" i="6"/>
  <c r="J33" i="6"/>
  <c r="K34" i="6"/>
  <c r="L35" i="6"/>
  <c r="M36" i="6"/>
  <c r="N37" i="6"/>
  <c r="C27" i="6"/>
  <c r="D28" i="6"/>
  <c r="E29" i="6"/>
  <c r="F30" i="6"/>
  <c r="G31" i="6"/>
  <c r="H32" i="6"/>
  <c r="I33" i="6"/>
  <c r="J34" i="6"/>
  <c r="K35" i="6"/>
  <c r="L36" i="6"/>
  <c r="M37" i="6"/>
  <c r="C28" i="6"/>
  <c r="D29" i="6"/>
  <c r="E30" i="6"/>
  <c r="F31" i="6"/>
  <c r="G32" i="6"/>
  <c r="H33" i="6"/>
  <c r="I34" i="6"/>
  <c r="J35" i="6"/>
  <c r="K36" i="6"/>
  <c r="L37" i="6"/>
  <c r="C29" i="6"/>
  <c r="D30" i="6"/>
  <c r="E31" i="6"/>
  <c r="F32" i="6"/>
  <c r="G33" i="6"/>
  <c r="H34" i="6"/>
  <c r="I35" i="6"/>
  <c r="J36" i="6"/>
  <c r="K37" i="6"/>
  <c r="C30" i="6"/>
  <c r="D31" i="6"/>
  <c r="E32" i="6"/>
  <c r="F33" i="6"/>
  <c r="G34" i="6"/>
  <c r="H35" i="6"/>
  <c r="I36" i="6"/>
  <c r="J37" i="6"/>
  <c r="C31" i="6"/>
  <c r="D32" i="6"/>
  <c r="C32" i="6"/>
  <c r="D33" i="6"/>
  <c r="E34" i="6"/>
  <c r="F35" i="6"/>
  <c r="G36" i="6"/>
  <c r="H37" i="6"/>
  <c r="C33" i="6"/>
  <c r="D34" i="6"/>
  <c r="E35" i="6"/>
  <c r="F36" i="6"/>
  <c r="G37" i="6"/>
  <c r="C34" i="6"/>
  <c r="D35" i="6"/>
  <c r="E36" i="6"/>
  <c r="F37" i="6"/>
  <c r="C35" i="6"/>
  <c r="D36" i="6"/>
  <c r="E37" i="6"/>
  <c r="C36" i="6"/>
  <c r="D37" i="6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23" i="18"/>
  <c r="O35" i="18"/>
  <c r="C19" i="18"/>
  <c r="O31" i="18"/>
  <c r="K31" i="18"/>
  <c r="C18" i="18"/>
  <c r="L27" i="18"/>
  <c r="M29" i="18"/>
  <c r="C15" i="18"/>
  <c r="O27" i="18"/>
  <c r="G27" i="18"/>
  <c r="C14" i="18"/>
  <c r="N25" i="18"/>
  <c r="I25" i="18"/>
  <c r="C11" i="18"/>
  <c r="O23" i="18"/>
  <c r="L23" i="18"/>
  <c r="K23" i="18"/>
  <c r="C10" i="18"/>
  <c r="L19" i="18"/>
  <c r="M21" i="18"/>
  <c r="J21" i="18"/>
  <c r="E21" i="18"/>
  <c r="C7" i="18"/>
  <c r="O19" i="18"/>
  <c r="H19" i="18"/>
  <c r="G19" i="18"/>
  <c r="C6" i="18"/>
  <c r="N17" i="18"/>
  <c r="I17" i="18"/>
  <c r="F17" i="18"/>
  <c r="C3" i="18"/>
  <c r="O15" i="18"/>
  <c r="L15" i="18"/>
  <c r="K15" i="18"/>
  <c r="D15" i="18"/>
  <c r="C2" i="18"/>
  <c r="O14" i="18"/>
  <c r="O13" i="18"/>
  <c r="N13" i="18"/>
  <c r="I13" i="18"/>
  <c r="O12" i="18"/>
  <c r="N12" i="18"/>
  <c r="M12" i="18"/>
  <c r="I12" i="18"/>
  <c r="H12" i="18"/>
  <c r="O11" i="18"/>
  <c r="N11" i="18"/>
  <c r="M11" i="18"/>
  <c r="L11" i="18"/>
  <c r="H11" i="18"/>
  <c r="O10" i="18"/>
  <c r="N10" i="18"/>
  <c r="M10" i="18"/>
  <c r="L10" i="18"/>
  <c r="K10" i="18"/>
  <c r="J10" i="18"/>
  <c r="F10" i="18"/>
  <c r="O9" i="18"/>
  <c r="N9" i="18"/>
  <c r="M9" i="18"/>
  <c r="L9" i="18"/>
  <c r="K9" i="18"/>
  <c r="J9" i="18"/>
  <c r="I9" i="18"/>
  <c r="F9" i="18"/>
  <c r="E9" i="18"/>
  <c r="O8" i="18"/>
  <c r="N8" i="18"/>
  <c r="M8" i="18"/>
  <c r="L8" i="18"/>
  <c r="K8" i="18"/>
  <c r="J8" i="18"/>
  <c r="I8" i="18"/>
  <c r="H8" i="18"/>
  <c r="E8" i="18"/>
  <c r="D8" i="18"/>
  <c r="O7" i="18"/>
  <c r="N7" i="18"/>
  <c r="M7" i="18"/>
  <c r="L7" i="18"/>
  <c r="K7" i="18"/>
  <c r="J7" i="18"/>
  <c r="I7" i="18"/>
  <c r="H7" i="18"/>
  <c r="D7" i="18"/>
  <c r="O6" i="18"/>
  <c r="N6" i="18"/>
  <c r="M6" i="18"/>
  <c r="L6" i="18"/>
  <c r="K6" i="18"/>
  <c r="J6" i="18"/>
  <c r="I6" i="18"/>
  <c r="H6" i="18"/>
  <c r="G6" i="18"/>
  <c r="F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/>
  <c r="C27" i="13"/>
  <c r="D27" i="13"/>
  <c r="E3" i="13"/>
  <c r="F3" i="13"/>
  <c r="C16" i="13"/>
  <c r="D16" i="13"/>
  <c r="E4" i="13"/>
  <c r="F4" i="13"/>
  <c r="C28" i="13"/>
  <c r="D28" i="13"/>
  <c r="C17" i="13"/>
  <c r="D17" i="13"/>
  <c r="E5" i="13"/>
  <c r="F5" i="13"/>
  <c r="C29" i="13"/>
  <c r="D29" i="13"/>
  <c r="C18" i="13"/>
  <c r="D18" i="13"/>
  <c r="C30" i="13"/>
  <c r="D30" i="13"/>
  <c r="C19" i="13"/>
  <c r="D19" i="13"/>
  <c r="E7" i="13"/>
  <c r="F7" i="13"/>
  <c r="C31" i="13"/>
  <c r="D31" i="13"/>
  <c r="C8" i="13"/>
  <c r="D8" i="13"/>
  <c r="C20" i="13"/>
  <c r="D20" i="13"/>
  <c r="E8" i="13"/>
  <c r="F8" i="13"/>
  <c r="C9" i="13"/>
  <c r="D9" i="13"/>
  <c r="E9" i="13"/>
  <c r="F9" i="13"/>
  <c r="C21" i="13"/>
  <c r="D21" i="13"/>
  <c r="C10" i="13"/>
  <c r="D10" i="13"/>
  <c r="C22" i="13"/>
  <c r="D22" i="13"/>
  <c r="E10" i="13"/>
  <c r="F10" i="13"/>
  <c r="C11" i="13"/>
  <c r="D11" i="13"/>
  <c r="C23" i="13"/>
  <c r="D23" i="13"/>
  <c r="E11" i="13"/>
  <c r="F11" i="13"/>
  <c r="C12" i="13"/>
  <c r="D12" i="13"/>
  <c r="C24" i="13"/>
  <c r="D24" i="13"/>
  <c r="C13" i="13"/>
  <c r="D13" i="13"/>
  <c r="E13" i="13"/>
  <c r="F13" i="13"/>
  <c r="C25" i="13"/>
  <c r="D25" i="13"/>
  <c r="C14" i="13"/>
  <c r="D14" i="13"/>
  <c r="C26" i="13"/>
  <c r="D2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/>
  <c r="E6" i="3"/>
  <c r="F6" i="3"/>
  <c r="C38" i="6"/>
  <c r="D38" i="6"/>
  <c r="D40" i="6"/>
  <c r="F18" i="6"/>
  <c r="E38" i="6"/>
  <c r="E40" i="6"/>
  <c r="J14" i="6"/>
  <c r="E2" i="13"/>
  <c r="F2" i="13"/>
  <c r="E12" i="13"/>
  <c r="F12" i="13"/>
  <c r="E6" i="13"/>
  <c r="F6" i="13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C18" i="7"/>
  <c r="F18" i="7"/>
  <c r="G18" i="7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D7" i="5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C7" i="5"/>
  <c r="E7" i="5"/>
  <c r="F7" i="5"/>
  <c r="G7" i="5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/>
  <c r="F7" i="3"/>
  <c r="F18" i="11"/>
  <c r="G18" i="11"/>
  <c r="C18" i="1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J24" i="18"/>
  <c r="J27" i="18"/>
  <c r="J32" i="18"/>
  <c r="J37" i="18"/>
  <c r="J38" i="18"/>
  <c r="J40" i="18"/>
  <c r="C38" i="18"/>
  <c r="F7" i="18"/>
  <c r="M14" i="18"/>
  <c r="I10" i="18"/>
  <c r="H9" i="18"/>
  <c r="E6" i="18"/>
  <c r="O16" i="18"/>
  <c r="L13" i="18"/>
  <c r="D5" i="18"/>
  <c r="N31" i="18"/>
  <c r="L29" i="18"/>
  <c r="H25" i="18"/>
  <c r="F23" i="18"/>
  <c r="D21" i="18"/>
  <c r="M30" i="18"/>
  <c r="I26" i="18"/>
  <c r="E22" i="18"/>
  <c r="O32" i="18"/>
  <c r="K28" i="18"/>
  <c r="G24" i="18"/>
  <c r="O29" i="18"/>
  <c r="M27" i="18"/>
  <c r="M35" i="18"/>
  <c r="M38" i="18"/>
  <c r="M40" i="18"/>
  <c r="K25" i="18"/>
  <c r="I23" i="18"/>
  <c r="G21" i="18"/>
  <c r="E19" i="18"/>
  <c r="L26" i="18"/>
  <c r="H22" i="18"/>
  <c r="D18" i="18"/>
  <c r="N28" i="18"/>
  <c r="F20" i="18"/>
  <c r="F28" i="18"/>
  <c r="F33" i="18"/>
  <c r="F36" i="18"/>
  <c r="F38" i="18"/>
  <c r="F40" i="18"/>
  <c r="E35" i="18"/>
  <c r="G37" i="18"/>
  <c r="D34" i="18"/>
  <c r="N36" i="18"/>
  <c r="K33" i="18"/>
  <c r="I31" i="18"/>
  <c r="G29" i="18"/>
  <c r="E27" i="18"/>
  <c r="O37" i="18"/>
  <c r="L34" i="18"/>
  <c r="H30" i="18"/>
  <c r="D26" i="18"/>
  <c r="I36" i="18"/>
  <c r="G34" i="18"/>
  <c r="E32" i="18"/>
  <c r="H35" i="18"/>
  <c r="D31" i="18"/>
  <c r="G19" i="6"/>
  <c r="F38" i="6"/>
  <c r="F40" i="6"/>
  <c r="L38" i="18"/>
  <c r="L40" i="18"/>
  <c r="E38" i="18"/>
  <c r="E40" i="18"/>
  <c r="G38" i="18"/>
  <c r="G40" i="18"/>
  <c r="N38" i="18"/>
  <c r="N40" i="18"/>
  <c r="D38" i="18"/>
  <c r="D40" i="18"/>
  <c r="I38" i="18"/>
  <c r="I40" i="18"/>
  <c r="O38" i="18"/>
  <c r="O40" i="18"/>
  <c r="K38" i="18"/>
  <c r="K40" i="18"/>
  <c r="H38" i="18"/>
  <c r="H40" i="18"/>
  <c r="H20" i="6"/>
  <c r="G38" i="6"/>
  <c r="G40" i="6"/>
  <c r="C7" i="3"/>
  <c r="E8" i="5"/>
  <c r="F8" i="5"/>
  <c r="G8" i="5"/>
  <c r="L16" i="6"/>
  <c r="F19" i="7"/>
  <c r="G19" i="7"/>
  <c r="C19" i="7"/>
  <c r="D19" i="7"/>
  <c r="D8" i="5"/>
  <c r="H18" i="11"/>
  <c r="E18" i="11"/>
  <c r="E18" i="7"/>
  <c r="H18" i="7"/>
  <c r="D18" i="11"/>
  <c r="F20" i="7"/>
  <c r="G20" i="7"/>
  <c r="D20" i="7"/>
  <c r="M17" i="6"/>
  <c r="C8" i="5"/>
  <c r="F19" i="11"/>
  <c r="G19" i="11"/>
  <c r="D8" i="3"/>
  <c r="E8" i="3"/>
  <c r="F8" i="3"/>
  <c r="E19" i="7"/>
  <c r="H19" i="7"/>
  <c r="I21" i="6"/>
  <c r="H38" i="6"/>
  <c r="H40" i="6"/>
  <c r="H19" i="11"/>
  <c r="E19" i="11"/>
  <c r="C19" i="11"/>
  <c r="N18" i="6"/>
  <c r="J22" i="6"/>
  <c r="I38" i="6"/>
  <c r="I40" i="6"/>
  <c r="C8" i="3"/>
  <c r="D19" i="11"/>
  <c r="E20" i="7"/>
  <c r="H20" i="7"/>
  <c r="E9" i="5"/>
  <c r="F9" i="5"/>
  <c r="C9" i="5"/>
  <c r="C20" i="7"/>
  <c r="E10" i="5"/>
  <c r="F10" i="5"/>
  <c r="G10" i="5"/>
  <c r="G9" i="5"/>
  <c r="D9" i="5"/>
  <c r="K23" i="6"/>
  <c r="J38" i="6"/>
  <c r="J40" i="6"/>
  <c r="F21" i="7"/>
  <c r="G21" i="7"/>
  <c r="D9" i="3"/>
  <c r="E9" i="3"/>
  <c r="F9" i="3"/>
  <c r="C9" i="3"/>
  <c r="O19" i="6"/>
  <c r="F20" i="11"/>
  <c r="G20" i="11"/>
  <c r="D20" i="11"/>
  <c r="C20" i="11"/>
  <c r="E21" i="7"/>
  <c r="H21" i="7"/>
  <c r="D21" i="7"/>
  <c r="C21" i="7"/>
  <c r="D10" i="5"/>
  <c r="F21" i="11"/>
  <c r="G21" i="11"/>
  <c r="D10" i="3"/>
  <c r="E10" i="3"/>
  <c r="F10" i="3"/>
  <c r="C10" i="3"/>
  <c r="H20" i="11"/>
  <c r="E20" i="11"/>
  <c r="L24" i="6"/>
  <c r="K38" i="6"/>
  <c r="K40" i="6"/>
  <c r="C10" i="5"/>
  <c r="H21" i="11"/>
  <c r="E21" i="11"/>
  <c r="D11" i="3"/>
  <c r="E11" i="3"/>
  <c r="F11" i="3"/>
  <c r="C11" i="3"/>
  <c r="M25" i="6"/>
  <c r="L38" i="6"/>
  <c r="L40" i="6"/>
  <c r="F22" i="7"/>
  <c r="G22" i="7"/>
  <c r="D22" i="7"/>
  <c r="E11" i="5"/>
  <c r="F11" i="5"/>
  <c r="G11" i="5"/>
  <c r="C21" i="11"/>
  <c r="D21" i="11"/>
  <c r="D12" i="3"/>
  <c r="E12" i="3"/>
  <c r="F12" i="3"/>
  <c r="C22" i="7"/>
  <c r="E22" i="7"/>
  <c r="H22" i="7"/>
  <c r="F22" i="11"/>
  <c r="G22" i="11"/>
  <c r="C11" i="5"/>
  <c r="N26" i="6"/>
  <c r="M38" i="6"/>
  <c r="M40" i="6"/>
  <c r="D11" i="5"/>
  <c r="O27" i="6"/>
  <c r="O38" i="6"/>
  <c r="O40" i="6"/>
  <c r="N38" i="6"/>
  <c r="N40" i="6"/>
  <c r="C12" i="3"/>
  <c r="E12" i="5"/>
  <c r="F12" i="5"/>
  <c r="G12" i="5"/>
  <c r="H22" i="11"/>
  <c r="E22" i="11"/>
  <c r="D22" i="11"/>
  <c r="C22" i="11"/>
  <c r="C23" i="7"/>
  <c r="F23" i="7"/>
  <c r="G23" i="7"/>
  <c r="F23" i="11"/>
  <c r="G23" i="11"/>
  <c r="C12" i="5"/>
  <c r="D12" i="5"/>
  <c r="E23" i="7"/>
  <c r="H23" i="7"/>
  <c r="D23" i="7"/>
  <c r="D13" i="3"/>
  <c r="E13" i="3"/>
  <c r="F13" i="3"/>
  <c r="H23" i="11"/>
  <c r="E23" i="11"/>
  <c r="C23" i="11"/>
  <c r="F24" i="7"/>
  <c r="G24" i="7"/>
  <c r="C13" i="5"/>
  <c r="E13" i="5"/>
  <c r="F13" i="5"/>
  <c r="G13" i="5"/>
  <c r="C13" i="3"/>
  <c r="D23" i="11"/>
  <c r="C24" i="7"/>
  <c r="E14" i="5"/>
  <c r="F14" i="5"/>
  <c r="G14" i="5"/>
  <c r="D13" i="5"/>
  <c r="E24" i="7"/>
  <c r="H24" i="7"/>
  <c r="F24" i="11"/>
  <c r="G24" i="11"/>
  <c r="D14" i="3"/>
  <c r="E14" i="3"/>
  <c r="F14" i="3"/>
  <c r="D24" i="7"/>
  <c r="H24" i="11"/>
  <c r="E24" i="11"/>
  <c r="D14" i="5"/>
  <c r="C24" i="11"/>
  <c r="D24" i="11"/>
  <c r="F25" i="7"/>
  <c r="G25" i="7"/>
  <c r="C14" i="3"/>
  <c r="C25" i="7"/>
  <c r="C14" i="5"/>
  <c r="E25" i="7"/>
  <c r="H25" i="7"/>
  <c r="F25" i="11"/>
  <c r="G25" i="11"/>
  <c r="C25" i="11"/>
  <c r="D25" i="11"/>
  <c r="E15" i="5"/>
  <c r="F15" i="5"/>
  <c r="G15" i="5"/>
  <c r="D25" i="7"/>
  <c r="D15" i="5"/>
  <c r="D15" i="3"/>
  <c r="E15" i="3"/>
  <c r="F15" i="3"/>
  <c r="C15" i="3"/>
  <c r="D16" i="3"/>
  <c r="E16" i="3"/>
  <c r="F16" i="3"/>
  <c r="C16" i="3"/>
  <c r="C15" i="5"/>
  <c r="C26" i="11"/>
  <c r="F26" i="11"/>
  <c r="G26" i="11"/>
  <c r="D26" i="11"/>
  <c r="F26" i="7"/>
  <c r="G26" i="7"/>
  <c r="E25" i="11"/>
  <c r="H25" i="11"/>
  <c r="F27" i="11"/>
  <c r="G27" i="11"/>
  <c r="E16" i="5"/>
  <c r="F16" i="5"/>
  <c r="E26" i="7"/>
  <c r="H26" i="7"/>
  <c r="D17" i="3"/>
  <c r="E17" i="3"/>
  <c r="F17" i="3"/>
  <c r="C17" i="3"/>
  <c r="D26" i="7"/>
  <c r="C26" i="7"/>
  <c r="H26" i="11"/>
  <c r="E26" i="11"/>
  <c r="F27" i="7"/>
  <c r="G27" i="7"/>
  <c r="D27" i="7"/>
  <c r="H27" i="11"/>
  <c r="E27" i="11"/>
  <c r="G16" i="5"/>
  <c r="D16" i="5"/>
  <c r="C27" i="11"/>
  <c r="D18" i="3"/>
  <c r="E18" i="3"/>
  <c r="F18" i="3"/>
  <c r="C18" i="3"/>
  <c r="C16" i="5"/>
  <c r="D27" i="11"/>
  <c r="D19" i="3"/>
  <c r="E19" i="3"/>
  <c r="F19" i="3"/>
  <c r="E27" i="7"/>
  <c r="H27" i="7"/>
  <c r="E17" i="5"/>
  <c r="F17" i="5"/>
  <c r="G17" i="5"/>
  <c r="F28" i="11"/>
  <c r="G28" i="11"/>
  <c r="D28" i="11"/>
  <c r="C27" i="7"/>
  <c r="D17" i="5"/>
  <c r="H28" i="11"/>
  <c r="E28" i="11"/>
  <c r="C28" i="11"/>
  <c r="C19" i="3"/>
  <c r="F28" i="7"/>
  <c r="G28" i="7"/>
  <c r="C17" i="5"/>
  <c r="E28" i="7"/>
  <c r="H28" i="7"/>
  <c r="D28" i="7"/>
  <c r="D20" i="3"/>
  <c r="E20" i="3"/>
  <c r="F20" i="3"/>
  <c r="E18" i="5"/>
  <c r="F18" i="5"/>
  <c r="G18" i="5"/>
  <c r="C18" i="5"/>
  <c r="F29" i="11"/>
  <c r="G29" i="11"/>
  <c r="C28" i="7"/>
  <c r="F29" i="7"/>
  <c r="G29" i="7"/>
  <c r="D29" i="7"/>
  <c r="C29" i="7"/>
  <c r="H29" i="11"/>
  <c r="E29" i="11"/>
  <c r="D29" i="11"/>
  <c r="D18" i="5"/>
  <c r="E19" i="5"/>
  <c r="F19" i="5"/>
  <c r="G19" i="5"/>
  <c r="C19" i="5"/>
  <c r="C29" i="11"/>
  <c r="C20" i="3"/>
  <c r="F30" i="7"/>
  <c r="G30" i="7"/>
  <c r="C30" i="7"/>
  <c r="D21" i="3"/>
  <c r="E21" i="3"/>
  <c r="F21" i="3"/>
  <c r="D19" i="5"/>
  <c r="F30" i="11"/>
  <c r="G30" i="11"/>
  <c r="D30" i="11"/>
  <c r="C30" i="11"/>
  <c r="H29" i="7"/>
  <c r="E29" i="7"/>
  <c r="F31" i="11"/>
  <c r="G31" i="11"/>
  <c r="C31" i="11"/>
  <c r="C21" i="3"/>
  <c r="H30" i="7"/>
  <c r="E30" i="7"/>
  <c r="H30" i="11"/>
  <c r="E30" i="11"/>
  <c r="E20" i="5"/>
  <c r="F20" i="5"/>
  <c r="D20" i="5"/>
  <c r="D30" i="7"/>
  <c r="F31" i="7"/>
  <c r="G31" i="7"/>
  <c r="H31" i="7"/>
  <c r="E31" i="7"/>
  <c r="D22" i="3"/>
  <c r="E22" i="3"/>
  <c r="F22" i="3"/>
  <c r="C22" i="3"/>
  <c r="C31" i="7"/>
  <c r="D31" i="7"/>
  <c r="G20" i="5"/>
  <c r="C20" i="5"/>
  <c r="H31" i="11"/>
  <c r="E31" i="11"/>
  <c r="D31" i="11"/>
  <c r="F32" i="7"/>
  <c r="G32" i="7"/>
  <c r="F32" i="11"/>
  <c r="G32" i="11"/>
  <c r="D32" i="7"/>
  <c r="D23" i="3"/>
  <c r="E23" i="3"/>
  <c r="F23" i="3"/>
  <c r="E21" i="5"/>
  <c r="F21" i="5"/>
  <c r="C21" i="5"/>
  <c r="C32" i="11"/>
  <c r="H32" i="11"/>
  <c r="E32" i="11"/>
  <c r="G21" i="5"/>
  <c r="D21" i="5"/>
  <c r="H32" i="7"/>
  <c r="E32" i="7"/>
  <c r="C32" i="7"/>
  <c r="C23" i="3"/>
  <c r="D32" i="11"/>
  <c r="F33" i="11"/>
  <c r="G33" i="11"/>
  <c r="H33" i="11"/>
  <c r="E33" i="11"/>
  <c r="C33" i="11"/>
  <c r="D22" i="5"/>
  <c r="F33" i="7"/>
  <c r="G33" i="7"/>
  <c r="C33" i="7"/>
  <c r="C22" i="5"/>
  <c r="D33" i="11"/>
  <c r="D24" i="3"/>
  <c r="E24" i="3"/>
  <c r="F24" i="3"/>
  <c r="C24" i="3"/>
  <c r="E22" i="5"/>
  <c r="F22" i="5"/>
  <c r="G22" i="5"/>
  <c r="D25" i="3"/>
  <c r="E25" i="3"/>
  <c r="F25" i="3"/>
  <c r="C25" i="3"/>
  <c r="E23" i="5"/>
  <c r="F23" i="5"/>
  <c r="G23" i="5"/>
  <c r="D23" i="5"/>
  <c r="F34" i="11"/>
  <c r="G34" i="11"/>
  <c r="C34" i="11"/>
  <c r="D34" i="11"/>
  <c r="H33" i="7"/>
  <c r="E33" i="7"/>
  <c r="D33" i="7"/>
  <c r="F35" i="11"/>
  <c r="G35" i="11"/>
  <c r="D26" i="3"/>
  <c r="E26" i="3"/>
  <c r="F26" i="3"/>
  <c r="C26" i="3"/>
  <c r="C23" i="5"/>
  <c r="D34" i="7"/>
  <c r="F34" i="7"/>
  <c r="G34" i="7"/>
  <c r="H34" i="11"/>
  <c r="E34" i="11"/>
  <c r="H35" i="11"/>
  <c r="E35" i="11"/>
  <c r="D35" i="11"/>
  <c r="D27" i="3"/>
  <c r="E27" i="3"/>
  <c r="F27" i="3"/>
  <c r="H34" i="7"/>
  <c r="E34" i="7"/>
  <c r="C34" i="7"/>
  <c r="E24" i="5"/>
  <c r="F24" i="5"/>
  <c r="C24" i="5"/>
  <c r="C35" i="11"/>
  <c r="G24" i="5"/>
  <c r="D24" i="5"/>
  <c r="D36" i="11"/>
  <c r="E25" i="5"/>
  <c r="F25" i="5"/>
  <c r="G25" i="5"/>
  <c r="C36" i="11"/>
  <c r="F36" i="11"/>
  <c r="G36" i="11"/>
  <c r="F35" i="7"/>
  <c r="G35" i="7"/>
  <c r="C35" i="7"/>
  <c r="C27" i="3"/>
  <c r="F37" i="11"/>
  <c r="G37" i="11"/>
  <c r="D25" i="5"/>
  <c r="D28" i="3"/>
  <c r="E28" i="3"/>
  <c r="F28" i="3"/>
  <c r="C28" i="3"/>
  <c r="H35" i="7"/>
  <c r="E35" i="7"/>
  <c r="D35" i="7"/>
  <c r="C25" i="5"/>
  <c r="H36" i="11"/>
  <c r="E36" i="11"/>
  <c r="H37" i="11"/>
  <c r="E37" i="11"/>
  <c r="C37" i="11"/>
  <c r="E26" i="5"/>
  <c r="F26" i="5"/>
  <c r="G26" i="5"/>
  <c r="C26" i="5"/>
  <c r="D37" i="11"/>
  <c r="D29" i="3"/>
  <c r="E29" i="3"/>
  <c r="F29" i="3"/>
  <c r="D26" i="5"/>
  <c r="F36" i="7"/>
  <c r="G36" i="7"/>
  <c r="D36" i="7"/>
  <c r="D38" i="11"/>
  <c r="F38" i="11"/>
  <c r="G38" i="11"/>
  <c r="C29" i="3"/>
  <c r="H36" i="7"/>
  <c r="E36" i="7"/>
  <c r="E27" i="5"/>
  <c r="F27" i="5"/>
  <c r="G27" i="5"/>
  <c r="C27" i="5"/>
  <c r="C36" i="7"/>
  <c r="H38" i="11"/>
  <c r="E38" i="11"/>
  <c r="F37" i="7"/>
  <c r="G37" i="7"/>
  <c r="C37" i="7"/>
  <c r="D27" i="5"/>
  <c r="C38" i="11"/>
  <c r="E28" i="5"/>
  <c r="F28" i="5"/>
  <c r="G28" i="5"/>
  <c r="C28" i="5"/>
  <c r="D30" i="3"/>
  <c r="E30" i="3"/>
  <c r="F30" i="3"/>
  <c r="C30" i="3"/>
  <c r="F39" i="11"/>
  <c r="G39" i="11"/>
  <c r="C39" i="11"/>
  <c r="D28" i="5"/>
  <c r="H37" i="7"/>
  <c r="E37" i="7"/>
  <c r="D37" i="7"/>
  <c r="D38" i="7"/>
  <c r="F38" i="7"/>
  <c r="G38" i="7"/>
  <c r="D31" i="3"/>
  <c r="E31" i="3"/>
  <c r="F31" i="3"/>
  <c r="C31" i="3"/>
  <c r="D29" i="5"/>
  <c r="E29" i="5"/>
  <c r="F29" i="5"/>
  <c r="G29" i="5"/>
  <c r="H39" i="11"/>
  <c r="E39" i="11"/>
  <c r="D39" i="11"/>
  <c r="C29" i="5"/>
  <c r="H38" i="7"/>
  <c r="E38" i="7"/>
  <c r="C38" i="7"/>
  <c r="D32" i="3"/>
  <c r="E32" i="3"/>
  <c r="F32" i="3"/>
  <c r="E30" i="5"/>
  <c r="F30" i="5"/>
  <c r="G30" i="5"/>
  <c r="C30" i="5"/>
  <c r="D40" i="11"/>
  <c r="F40" i="11"/>
  <c r="G40" i="11"/>
  <c r="E31" i="5"/>
  <c r="F31" i="5"/>
  <c r="G31" i="5"/>
  <c r="D30" i="5"/>
  <c r="F39" i="7"/>
  <c r="G39" i="7"/>
  <c r="H40" i="11"/>
  <c r="E40" i="11"/>
  <c r="C32" i="3"/>
  <c r="C40" i="11"/>
  <c r="F41" i="11"/>
  <c r="G41" i="11"/>
  <c r="C31" i="5"/>
  <c r="H39" i="7"/>
  <c r="E39" i="7"/>
  <c r="D39" i="7"/>
  <c r="D33" i="3"/>
  <c r="E33" i="3"/>
  <c r="F33" i="3"/>
  <c r="C33" i="3"/>
  <c r="C39" i="7"/>
  <c r="D31" i="5"/>
  <c r="D34" i="3"/>
  <c r="E34" i="3"/>
  <c r="F34" i="3"/>
  <c r="E32" i="5"/>
  <c r="F32" i="5"/>
  <c r="G32" i="5"/>
  <c r="H41" i="11"/>
  <c r="E41" i="11"/>
  <c r="D41" i="11"/>
  <c r="F40" i="7"/>
  <c r="G40" i="7"/>
  <c r="C40" i="7"/>
  <c r="C41" i="11"/>
  <c r="D32" i="5"/>
  <c r="H40" i="7"/>
  <c r="E40" i="7"/>
  <c r="D40" i="7"/>
  <c r="C34" i="3"/>
  <c r="F42" i="11"/>
  <c r="G42" i="11"/>
  <c r="C42" i="11"/>
  <c r="D42" i="11"/>
  <c r="C32" i="5"/>
  <c r="D35" i="3"/>
  <c r="E35" i="3"/>
  <c r="F35" i="3"/>
  <c r="C35" i="3"/>
  <c r="C33" i="5"/>
  <c r="E33" i="5"/>
  <c r="F33" i="5"/>
  <c r="G33" i="5"/>
  <c r="F43" i="11"/>
  <c r="G43" i="11"/>
  <c r="H42" i="11"/>
  <c r="E42" i="11"/>
  <c r="F41" i="7"/>
  <c r="G41" i="7"/>
  <c r="D33" i="5"/>
  <c r="H43" i="11"/>
  <c r="E43" i="11"/>
  <c r="D36" i="3"/>
  <c r="E36" i="3"/>
  <c r="F36" i="3"/>
  <c r="C43" i="11"/>
  <c r="E34" i="5"/>
  <c r="F34" i="5"/>
  <c r="G34" i="5"/>
  <c r="C34" i="5"/>
  <c r="H41" i="7"/>
  <c r="E41" i="7"/>
  <c r="D41" i="7"/>
  <c r="D43" i="11"/>
  <c r="C41" i="7"/>
  <c r="F44" i="11"/>
  <c r="G44" i="11"/>
  <c r="F42" i="7"/>
  <c r="G42" i="7"/>
  <c r="C42" i="7"/>
  <c r="C36" i="3"/>
  <c r="D34" i="5"/>
  <c r="F43" i="7"/>
  <c r="G43" i="7"/>
  <c r="E35" i="5"/>
  <c r="F35" i="5"/>
  <c r="H42" i="7"/>
  <c r="E42" i="7"/>
  <c r="H44" i="11"/>
  <c r="E44" i="11"/>
  <c r="D37" i="3"/>
  <c r="E37" i="3"/>
  <c r="F37" i="3"/>
  <c r="C37" i="3"/>
  <c r="D44" i="11"/>
  <c r="C44" i="11"/>
  <c r="D42" i="7"/>
  <c r="G35" i="5"/>
  <c r="C35" i="5"/>
  <c r="C45" i="11"/>
  <c r="F45" i="11"/>
  <c r="G45" i="11"/>
  <c r="D45" i="11"/>
  <c r="D35" i="5"/>
  <c r="D38" i="3"/>
  <c r="E38" i="3"/>
  <c r="F38" i="3"/>
  <c r="H43" i="7"/>
  <c r="E43" i="7"/>
  <c r="D43" i="7"/>
  <c r="C43" i="7"/>
  <c r="E36" i="5"/>
  <c r="F36" i="5"/>
  <c r="G36" i="5"/>
  <c r="C36" i="5"/>
  <c r="F46" i="11"/>
  <c r="G46" i="11"/>
  <c r="C46" i="11"/>
  <c r="F44" i="7"/>
  <c r="G44" i="7"/>
  <c r="C38" i="3"/>
  <c r="H45" i="11"/>
  <c r="E45" i="11"/>
  <c r="E37" i="5"/>
  <c r="F37" i="5"/>
  <c r="G37" i="5"/>
  <c r="H44" i="7"/>
  <c r="E44" i="7"/>
  <c r="D39" i="3"/>
  <c r="E39" i="3"/>
  <c r="F39" i="3"/>
  <c r="C39" i="3"/>
  <c r="D36" i="5"/>
  <c r="C37" i="5"/>
  <c r="H46" i="11"/>
  <c r="E46" i="11"/>
  <c r="C44" i="7"/>
  <c r="D46" i="11"/>
  <c r="D44" i="7"/>
  <c r="D40" i="3"/>
  <c r="E40" i="3"/>
  <c r="F40" i="3"/>
  <c r="F47" i="11"/>
  <c r="G47" i="11"/>
  <c r="D47" i="11"/>
  <c r="F45" i="7"/>
  <c r="G45" i="7"/>
  <c r="C45" i="7"/>
  <c r="D37" i="5"/>
  <c r="C47" i="11"/>
  <c r="F48" i="11"/>
  <c r="G48" i="11"/>
  <c r="C48" i="11"/>
  <c r="C40" i="3"/>
  <c r="F46" i="7"/>
  <c r="G46" i="7"/>
  <c r="C38" i="5"/>
  <c r="H47" i="11"/>
  <c r="E47" i="11"/>
  <c r="H45" i="7"/>
  <c r="E45" i="7"/>
  <c r="D45" i="7"/>
  <c r="E38" i="5"/>
  <c r="F38" i="5"/>
  <c r="G38" i="5"/>
  <c r="D41" i="3"/>
  <c r="E41" i="3"/>
  <c r="F41" i="3"/>
  <c r="E2" i="3"/>
  <c r="F2" i="3"/>
  <c r="H48" i="11"/>
  <c r="E48" i="11"/>
  <c r="H46" i="7"/>
  <c r="E46" i="7"/>
  <c r="C46" i="7"/>
  <c r="D46" i="7"/>
  <c r="D38" i="5"/>
  <c r="D48" i="11"/>
  <c r="F49" i="11"/>
  <c r="G49" i="11"/>
  <c r="F47" i="7"/>
  <c r="G47" i="7"/>
  <c r="D47" i="7"/>
  <c r="C41" i="3"/>
  <c r="C49" i="11"/>
  <c r="E39" i="5"/>
  <c r="F39" i="5"/>
  <c r="G39" i="5"/>
  <c r="D39" i="5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/>
  <c r="F40" i="5"/>
  <c r="G40" i="5"/>
  <c r="F50" i="11"/>
  <c r="G50" i="11"/>
  <c r="C48" i="7"/>
  <c r="F48" i="7"/>
  <c r="G48" i="7"/>
  <c r="D40" i="5"/>
  <c r="F49" i="7"/>
  <c r="G49" i="7"/>
  <c r="H50" i="11"/>
  <c r="E50" i="11"/>
  <c r="D50" i="11"/>
  <c r="H48" i="7"/>
  <c r="E48" i="7"/>
  <c r="D48" i="7"/>
  <c r="C40" i="5"/>
  <c r="C50" i="11"/>
  <c r="H49" i="7"/>
  <c r="E49" i="7"/>
  <c r="D49" i="7"/>
  <c r="F51" i="11"/>
  <c r="G51" i="11"/>
  <c r="C49" i="7"/>
  <c r="C41" i="5"/>
  <c r="E41" i="5"/>
  <c r="F41" i="5"/>
  <c r="G41" i="5"/>
  <c r="F2" i="5"/>
  <c r="G2" i="5"/>
  <c r="D41" i="5"/>
  <c r="B45" i="5"/>
  <c r="B49" i="5"/>
  <c r="B53" i="5"/>
  <c r="B43" i="5"/>
  <c r="B47" i="5"/>
  <c r="B51" i="5"/>
  <c r="B42" i="5"/>
  <c r="B50" i="5"/>
  <c r="B44" i="5"/>
  <c r="B52" i="5"/>
  <c r="B46" i="5"/>
  <c r="B48" i="5"/>
  <c r="C50" i="7"/>
  <c r="F50" i="7"/>
  <c r="G50" i="7"/>
  <c r="H51" i="11"/>
  <c r="E51" i="11"/>
  <c r="C51" i="11"/>
  <c r="D51" i="11"/>
  <c r="H50" i="7"/>
  <c r="E50" i="7"/>
  <c r="F52" i="11"/>
  <c r="G52" i="11"/>
  <c r="C52" i="11"/>
  <c r="D50" i="7"/>
  <c r="F51" i="7"/>
  <c r="G51" i="7"/>
  <c r="H51" i="7"/>
  <c r="E51" i="7"/>
  <c r="C51" i="7"/>
  <c r="D51" i="7"/>
  <c r="H52" i="11"/>
  <c r="G2" i="11"/>
  <c r="H2" i="11"/>
  <c r="E52" i="11"/>
  <c r="D52" i="11"/>
  <c r="F52" i="7"/>
  <c r="G52" i="7"/>
  <c r="C52" i="7"/>
  <c r="G56" i="11"/>
  <c r="G60" i="11"/>
  <c r="G64" i="11"/>
  <c r="G61" i="11"/>
  <c r="G62" i="11"/>
  <c r="G63" i="11"/>
  <c r="G54" i="11"/>
  <c r="G57" i="11"/>
  <c r="G59" i="11"/>
  <c r="G53" i="11"/>
  <c r="E53" i="11"/>
  <c r="G55" i="11"/>
  <c r="G58" i="11"/>
  <c r="D52" i="7"/>
  <c r="F53" i="11"/>
  <c r="B57" i="7"/>
  <c r="B61" i="7"/>
  <c r="B53" i="7"/>
  <c r="B58" i="7"/>
  <c r="B63" i="7"/>
  <c r="B54" i="7"/>
  <c r="B59" i="7"/>
  <c r="B55" i="7"/>
  <c r="B60" i="7"/>
  <c r="B62" i="7"/>
  <c r="D53" i="11"/>
  <c r="D54" i="11"/>
  <c r="D55" i="11"/>
  <c r="D56" i="11"/>
  <c r="D57" i="11"/>
  <c r="D58" i="11"/>
  <c r="D59" i="11"/>
  <c r="D60" i="11"/>
  <c r="D61" i="11"/>
  <c r="D62" i="11"/>
  <c r="D63" i="11"/>
  <c r="D64" i="11"/>
  <c r="B53" i="11"/>
  <c r="H52" i="7"/>
  <c r="G2" i="7"/>
  <c r="H2" i="7"/>
  <c r="E52" i="7"/>
  <c r="B64" i="7"/>
  <c r="C53" i="11"/>
  <c r="C54" i="11"/>
  <c r="F54" i="11"/>
  <c r="B54" i="11"/>
  <c r="E54" i="11"/>
  <c r="C55" i="11"/>
  <c r="F55" i="11"/>
  <c r="B55" i="11"/>
  <c r="E55" i="11"/>
  <c r="C56" i="11"/>
  <c r="F56" i="11"/>
  <c r="B56" i="11"/>
  <c r="E56" i="11"/>
  <c r="C57" i="11"/>
  <c r="F57" i="11"/>
  <c r="B57" i="11"/>
  <c r="E57" i="11"/>
  <c r="C58" i="11"/>
  <c r="F58" i="11"/>
  <c r="B58" i="11"/>
  <c r="E58" i="11"/>
  <c r="C59" i="11"/>
  <c r="F59" i="11"/>
  <c r="B59" i="11"/>
  <c r="E59" i="11"/>
  <c r="C60" i="11"/>
  <c r="F60" i="11"/>
  <c r="B60" i="11"/>
  <c r="E60" i="11"/>
  <c r="C61" i="11"/>
  <c r="F61" i="11"/>
  <c r="B61" i="11"/>
  <c r="E61" i="11"/>
  <c r="C62" i="11"/>
  <c r="F62" i="11"/>
  <c r="B62" i="11"/>
  <c r="E62" i="11"/>
  <c r="C63" i="11"/>
  <c r="F63" i="11"/>
  <c r="B63" i="11"/>
  <c r="E63" i="11"/>
  <c r="C64" i="11"/>
  <c r="F64" i="11"/>
  <c r="B64" i="11"/>
  <c r="E64" i="11"/>
</calcChain>
</file>

<file path=xl/sharedStrings.xml><?xml version="1.0" encoding="utf-8"?>
<sst xmlns="http://schemas.openxmlformats.org/spreadsheetml/2006/main" count="175" uniqueCount="62">
  <si>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</si>
  <si>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</si>
  <si>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</si>
  <si>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</si>
  <si>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</si>
  <si>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</si>
  <si>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</si>
  <si>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</si>
  <si>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</si>
  <si>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</si>
  <si>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</si>
  <si>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</si>
  <si>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</si>
  <si>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</si>
  <si>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</si>
  <si>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</si>
  <si>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</si>
  <si>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</si>
  <si>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</si>
  <si>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</si>
  <si>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</si>
  <si>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</si>
  <si>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</si>
  <si>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</si>
  <si>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</si>
  <si>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</si>
  <si>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</si>
  <si>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</si>
  <si>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</si>
  <si>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</si>
  <si>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</si>
  <si>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</si>
  <si>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</si>
  <si>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</si>
  <si>
    <t>Level Smoothing Param (Alpha)</t>
  </si>
  <si>
    <t>Forecast</t>
  </si>
  <si>
    <t>Error</t>
  </si>
  <si>
    <t>STERR</t>
  </si>
  <si>
    <t>DF</t>
  </si>
  <si>
    <t>P-Val</t>
  </si>
  <si>
    <t>Alpha</t>
  </si>
  <si>
    <t>Gamma</t>
  </si>
  <si>
    <t>STDERR</t>
  </si>
  <si>
    <t>Deviation</t>
  </si>
  <si>
    <t>Average Adjustment</t>
  </si>
  <si>
    <t>Jan</t>
  </si>
  <si>
    <t>Feb</t>
  </si>
  <si>
    <t>Mar</t>
  </si>
  <si>
    <t>Apr</t>
  </si>
  <si>
    <t>May</t>
  </si>
  <si>
    <t>Jun</t>
  </si>
  <si>
    <t>Jul</t>
  </si>
  <si>
    <t>Aug</t>
  </si>
  <si>
    <t>Sept</t>
  </si>
  <si>
    <t>Oct</t>
  </si>
  <si>
    <t>Nov</t>
  </si>
  <si>
    <t>Dec</t>
  </si>
  <si>
    <t>Seasonally Adjusted</t>
  </si>
  <si>
    <t>Skew %</t>
  </si>
  <si>
    <t>Seasonal Factor</t>
  </si>
  <si>
    <t>Seasonal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</si>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</sst>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45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  <xf numFmtId="0" fontId="5" fillId="0" borderId="6" xfId="0" applyFont="1" applyBorder="1"/>
    <xf numFmtId="0" fontId="5" fillId="0" borderId="2" xfId="0" applyFont="1" applyBorder="1"/>
    <xf numFmtId="2" fontId="0" fillId="0" borderId="0" xfId="0" applyNumberFormat="1" applyAlignment="1">
      <alignment wrapText="1"/>
    </xf>
    <xf numFmtId="0" fontId="5" fillId="0" borderId="4" xfId="0" applyFont="1" applyBorder="1" applyAlignment="1">
      <alignment wrapText="1"/>
    </xf>
    <xf numFmtId="0" fontId="5" fillId="0" borderId="5" xfId="0" applyFont="1" applyBorder="1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</cellXfs>
  <cellStyles count="44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Normal" xfId="0" builtinId="0"/>
    <cellStyle name="Percent" xfId="2169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034200"/>
        <c:axId val="-2127634040"/>
      </c:scatterChart>
      <c:valAx>
        <c:axId val="-2113034200"/>
        <c:scaling>
          <c:orientation val="minMax"/>
          <c:max val="36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634040"/>
        <c:crosses val="autoZero"/>
        <c:crossBetween val="midCat"/>
        <c:majorUnit val="6.0"/>
      </c:valAx>
      <c:valAx>
        <c:axId val="-2127634040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13034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MySES!$B$4</c:f>
              <c:strCache>
                <c:ptCount val="1"/>
                <c:pt idx="0">
                  <c:v>Demand</c:v>
                </c:pt>
              </c:strCache>
            </c:strRef>
          </c:tx>
          <c:marker>
            <c:symbol val="none"/>
          </c:marker>
          <c:xVal>
            <c:numRef>
              <c:f>MySES!$A$5:$A$41</c:f>
              <c:numCache>
                <c:formatCode>General</c:formatCode>
                <c:ptCount val="3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</c:numCache>
            </c:numRef>
          </c:xVal>
          <c:yVal>
            <c:numRef>
              <c:f>MySES!$B$5:$B$41</c:f>
              <c:numCache>
                <c:formatCode>General</c:formatCode>
                <c:ptCount val="37"/>
                <c:pt idx="1">
                  <c:v>165.0</c:v>
                </c:pt>
                <c:pt idx="2">
                  <c:v>171.0</c:v>
                </c:pt>
                <c:pt idx="3">
                  <c:v>147.0</c:v>
                </c:pt>
                <c:pt idx="4">
                  <c:v>143.0</c:v>
                </c:pt>
                <c:pt idx="5">
                  <c:v>164.0</c:v>
                </c:pt>
                <c:pt idx="6">
                  <c:v>160.0</c:v>
                </c:pt>
                <c:pt idx="7">
                  <c:v>152.0</c:v>
                </c:pt>
                <c:pt idx="8">
                  <c:v>150.0</c:v>
                </c:pt>
                <c:pt idx="9">
                  <c:v>159.0</c:v>
                </c:pt>
                <c:pt idx="10">
                  <c:v>169.0</c:v>
                </c:pt>
                <c:pt idx="11">
                  <c:v>173.0</c:v>
                </c:pt>
                <c:pt idx="12">
                  <c:v>203.0</c:v>
                </c:pt>
                <c:pt idx="13">
                  <c:v>169.0</c:v>
                </c:pt>
                <c:pt idx="14">
                  <c:v>166.0</c:v>
                </c:pt>
                <c:pt idx="15">
                  <c:v>162.0</c:v>
                </c:pt>
                <c:pt idx="16">
                  <c:v>147.0</c:v>
                </c:pt>
                <c:pt idx="17">
                  <c:v>188.0</c:v>
                </c:pt>
                <c:pt idx="18">
                  <c:v>161.0</c:v>
                </c:pt>
                <c:pt idx="19">
                  <c:v>162.0</c:v>
                </c:pt>
                <c:pt idx="20">
                  <c:v>169.0</c:v>
                </c:pt>
                <c:pt idx="21">
                  <c:v>185.0</c:v>
                </c:pt>
                <c:pt idx="22">
                  <c:v>188.0</c:v>
                </c:pt>
                <c:pt idx="23">
                  <c:v>200.0</c:v>
                </c:pt>
                <c:pt idx="24">
                  <c:v>229.0</c:v>
                </c:pt>
                <c:pt idx="25">
                  <c:v>189.0</c:v>
                </c:pt>
                <c:pt idx="26">
                  <c:v>218.0</c:v>
                </c:pt>
                <c:pt idx="27">
                  <c:v>185.0</c:v>
                </c:pt>
                <c:pt idx="28">
                  <c:v>199.0</c:v>
                </c:pt>
                <c:pt idx="29">
                  <c:v>210.0</c:v>
                </c:pt>
                <c:pt idx="30">
                  <c:v>193.0</c:v>
                </c:pt>
                <c:pt idx="31">
                  <c:v>211.0</c:v>
                </c:pt>
                <c:pt idx="32">
                  <c:v>208.0</c:v>
                </c:pt>
                <c:pt idx="33">
                  <c:v>216.0</c:v>
                </c:pt>
                <c:pt idx="34">
                  <c:v>218.0</c:v>
                </c:pt>
                <c:pt idx="35">
                  <c:v>264.0</c:v>
                </c:pt>
                <c:pt idx="36">
                  <c:v>304.0</c:v>
                </c:pt>
              </c:numCache>
            </c:numRef>
          </c:yVal>
          <c:smooth val="0"/>
        </c:ser>
        <c:ser>
          <c:idx val="1"/>
          <c:order val="1"/>
          <c:tx>
            <c:v>Forecast</c:v>
          </c:tx>
          <c:marker>
            <c:symbol val="none"/>
          </c:marker>
          <c:yVal>
            <c:numRef>
              <c:f>MySES!$D$4:$D$41</c:f>
              <c:numCache>
                <c:formatCode>General</c:formatCode>
                <c:ptCount val="38"/>
                <c:pt idx="0">
                  <c:v>0.0</c:v>
                </c:pt>
                <c:pt idx="2" formatCode="0.00">
                  <c:v>163.0</c:v>
                </c:pt>
                <c:pt idx="3" formatCode="0.00">
                  <c:v>164.4641792268759</c:v>
                </c:pt>
                <c:pt idx="4" formatCode="0.00">
                  <c:v>169.2489857301721</c:v>
                </c:pt>
                <c:pt idx="5" formatCode="0.00">
                  <c:v>152.9607343675837</c:v>
                </c:pt>
                <c:pt idx="6" formatCode="0.00">
                  <c:v>145.6685841948612</c:v>
                </c:pt>
                <c:pt idx="7" formatCode="0.00">
                  <c:v>159.0888233054157</c:v>
                </c:pt>
                <c:pt idx="8" formatCode="0.00">
                  <c:v>159.7558862995276</c:v>
                </c:pt>
                <c:pt idx="9" formatCode="0.00">
                  <c:v>154.0778824966377</c:v>
                </c:pt>
                <c:pt idx="10" formatCode="0.00">
                  <c:v>151.0925070760288</c:v>
                </c:pt>
                <c:pt idx="11" formatCode="0.00">
                  <c:v>156.8815005140023</c:v>
                </c:pt>
                <c:pt idx="12" formatCode="0.00">
                  <c:v>165.7533281181545</c:v>
                </c:pt>
                <c:pt idx="13" formatCode="0.00">
                  <c:v>171.0585413348465</c:v>
                </c:pt>
                <c:pt idx="14" formatCode="0.00">
                  <c:v>194.4425514616633</c:v>
                </c:pt>
                <c:pt idx="15" formatCode="0.00">
                  <c:v>175.8163237972188</c:v>
                </c:pt>
                <c:pt idx="16" formatCode="0.00">
                  <c:v>168.629895103131</c:v>
                </c:pt>
                <c:pt idx="17" formatCode="0.00">
                  <c:v>163.7762177599456</c:v>
                </c:pt>
                <c:pt idx="18" formatCode="0.00">
                  <c:v>151.494522985116</c:v>
                </c:pt>
                <c:pt idx="19" formatCode="0.00">
                  <c:v>178.2198035413108</c:v>
                </c:pt>
                <c:pt idx="20" formatCode="0.00">
                  <c:v>165.6133642232749</c:v>
                </c:pt>
                <c:pt idx="21" formatCode="0.00">
                  <c:v>162.968057805847</c:v>
                </c:pt>
                <c:pt idx="22" formatCode="0.00">
                  <c:v>167.3839800350446</c:v>
                </c:pt>
                <c:pt idx="23" formatCode="0.00">
                  <c:v>180.2804852815042</c:v>
                </c:pt>
                <c:pt idx="24" formatCode="0.00">
                  <c:v>185.9318618276964</c:v>
                </c:pt>
                <c:pt idx="25" formatCode="0.00">
                  <c:v>196.23099966405</c:v>
                </c:pt>
                <c:pt idx="26" formatCode="0.00">
                  <c:v>220.220844452744</c:v>
                </c:pt>
                <c:pt idx="27" formatCode="0.00">
                  <c:v>197.364388506128</c:v>
                </c:pt>
                <c:pt idx="28" formatCode="0.00">
                  <c:v>212.4715053477327</c:v>
                </c:pt>
                <c:pt idx="29" formatCode="0.00">
                  <c:v>192.3599016171522</c:v>
                </c:pt>
                <c:pt idx="30" formatCode="0.00">
                  <c:v>197.2210486754413</c:v>
                </c:pt>
                <c:pt idx="31" formatCode="0.00">
                  <c:v>206.57638621078</c:v>
                </c:pt>
                <c:pt idx="32" formatCode="0.00">
                  <c:v>196.6372548778456</c:v>
                </c:pt>
                <c:pt idx="33" formatCode="0.00">
                  <c:v>207.1520714022316</c:v>
                </c:pt>
                <c:pt idx="34" formatCode="0.00">
                  <c:v>207.7728311215949</c:v>
                </c:pt>
                <c:pt idx="35" formatCode="0.00">
                  <c:v>213.7958560054753</c:v>
                </c:pt>
                <c:pt idx="36" formatCode="0.00">
                  <c:v>216.8736661572644</c:v>
                </c:pt>
                <c:pt idx="37" formatCode="0.00">
                  <c:v>251.3743656829409</c:v>
                </c:pt>
              </c:numCache>
            </c:numRef>
          </c:yVal>
          <c:smooth val="0"/>
        </c:ser>
        <c:ser>
          <c:idx val="2"/>
          <c:order val="2"/>
          <c:tx>
            <c:v>Extrapolate</c:v>
          </c:tx>
          <c:marker>
            <c:symbol val="none"/>
          </c:marker>
          <c:xVal>
            <c:numRef>
              <c:f>MySES!$A$42:$A$53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MySES!$B$42:$B$53</c:f>
              <c:numCache>
                <c:formatCode>0.00</c:formatCode>
                <c:ptCount val="12"/>
                <c:pt idx="0">
                  <c:v>289.9010459670441</c:v>
                </c:pt>
                <c:pt idx="1">
                  <c:v>289.9010459670441</c:v>
                </c:pt>
                <c:pt idx="2">
                  <c:v>289.9010459670441</c:v>
                </c:pt>
                <c:pt idx="3">
                  <c:v>289.9010459670441</c:v>
                </c:pt>
                <c:pt idx="4">
                  <c:v>289.9010459670441</c:v>
                </c:pt>
                <c:pt idx="5">
                  <c:v>289.9010459670441</c:v>
                </c:pt>
                <c:pt idx="6">
                  <c:v>289.9010459670441</c:v>
                </c:pt>
                <c:pt idx="7">
                  <c:v>289.9010459670441</c:v>
                </c:pt>
                <c:pt idx="8">
                  <c:v>289.9010459670441</c:v>
                </c:pt>
                <c:pt idx="9">
                  <c:v>289.9010459670441</c:v>
                </c:pt>
                <c:pt idx="10">
                  <c:v>289.9010459670441</c:v>
                </c:pt>
                <c:pt idx="11">
                  <c:v>289.9010459670441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109624"/>
        <c:axId val="-2071221864"/>
      </c:scatterChart>
      <c:valAx>
        <c:axId val="-2111109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71221864"/>
        <c:crosses val="autoZero"/>
        <c:crossBetween val="midCat"/>
      </c:valAx>
      <c:valAx>
        <c:axId val="-2071221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1109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</c:v>
                </c:pt>
                <c:pt idx="1">
                  <c:v>289.901045068405</c:v>
                </c:pt>
                <c:pt idx="2">
                  <c:v>289.901045068405</c:v>
                </c:pt>
                <c:pt idx="3">
                  <c:v>289.901045068405</c:v>
                </c:pt>
                <c:pt idx="4">
                  <c:v>289.901045068405</c:v>
                </c:pt>
                <c:pt idx="5">
                  <c:v>289.901045068405</c:v>
                </c:pt>
                <c:pt idx="6">
                  <c:v>289.901045068405</c:v>
                </c:pt>
                <c:pt idx="7">
                  <c:v>289.901045068405</c:v>
                </c:pt>
                <c:pt idx="8">
                  <c:v>289.901045068405</c:v>
                </c:pt>
                <c:pt idx="9">
                  <c:v>289.901045068405</c:v>
                </c:pt>
                <c:pt idx="10">
                  <c:v>289.901045068405</c:v>
                </c:pt>
                <c:pt idx="11">
                  <c:v>289.901045068405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90392"/>
        <c:axId val="2116942440"/>
      </c:scatterChart>
      <c:valAx>
        <c:axId val="-2111590392"/>
        <c:scaling>
          <c:orientation val="minMax"/>
          <c:max val="48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6942440"/>
        <c:crosses val="autoZero"/>
        <c:crossBetween val="midCat"/>
        <c:majorUnit val="6.0"/>
      </c:valAx>
      <c:valAx>
        <c:axId val="2116942440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115903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MyHolt!$A$6:$A$41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MyHolt!$B$6:$B$41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MyHolt!$A$42:$A$53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MyHolt!$B$42:$B$53</c:f>
              <c:numCache>
                <c:formatCode>General</c:formatCode>
                <c:ptCount val="12"/>
                <c:pt idx="0">
                  <c:v>291.7094663481357</c:v>
                </c:pt>
                <c:pt idx="1">
                  <c:v>297.0538694702643</c:v>
                </c:pt>
                <c:pt idx="2">
                  <c:v>302.398272592393</c:v>
                </c:pt>
                <c:pt idx="3">
                  <c:v>307.7426757145217</c:v>
                </c:pt>
                <c:pt idx="4">
                  <c:v>313.0870788366504</c:v>
                </c:pt>
                <c:pt idx="5">
                  <c:v>318.4314819587791</c:v>
                </c:pt>
                <c:pt idx="6">
                  <c:v>323.7758850809078</c:v>
                </c:pt>
                <c:pt idx="7">
                  <c:v>329.1202882030364</c:v>
                </c:pt>
                <c:pt idx="8">
                  <c:v>334.4646913251651</c:v>
                </c:pt>
                <c:pt idx="9">
                  <c:v>339.8090944472938</c:v>
                </c:pt>
                <c:pt idx="10">
                  <c:v>345.1534975694225</c:v>
                </c:pt>
                <c:pt idx="11">
                  <c:v>350.4979006915512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751560"/>
        <c:axId val="-2106003704"/>
      </c:scatterChart>
      <c:valAx>
        <c:axId val="-2107751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6003704"/>
        <c:crosses val="autoZero"/>
        <c:crossBetween val="midCat"/>
      </c:valAx>
      <c:valAx>
        <c:axId val="-2106003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751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702232"/>
        <c:axId val="-2127632328"/>
      </c:scatterChart>
      <c:valAx>
        <c:axId val="-2127702232"/>
        <c:scaling>
          <c:orientation val="minMax"/>
          <c:max val="18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632328"/>
        <c:crosses val="autoZero"/>
        <c:crossBetween val="midCat"/>
        <c:majorUnit val="3.0"/>
      </c:valAx>
      <c:valAx>
        <c:axId val="-2127632328"/>
        <c:scaling>
          <c:orientation val="minMax"/>
          <c:min val="12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7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291.7094768381366</c:v>
                </c:pt>
                <c:pt idx="1">
                  <c:v>297.0538748365036</c:v>
                </c:pt>
                <c:pt idx="2">
                  <c:v>302.3982728348705</c:v>
                </c:pt>
                <c:pt idx="3">
                  <c:v>307.7426708332374</c:v>
                </c:pt>
                <c:pt idx="4">
                  <c:v>313.0870688316044</c:v>
                </c:pt>
                <c:pt idx="5">
                  <c:v>318.4314668299713</c:v>
                </c:pt>
                <c:pt idx="6">
                  <c:v>323.7758648283382</c:v>
                </c:pt>
                <c:pt idx="7">
                  <c:v>329.1202628267052</c:v>
                </c:pt>
                <c:pt idx="8">
                  <c:v>334.4646608250722</c:v>
                </c:pt>
                <c:pt idx="9">
                  <c:v>339.8090588234391</c:v>
                </c:pt>
                <c:pt idx="10">
                  <c:v>345.153456821806</c:v>
                </c:pt>
                <c:pt idx="11">
                  <c:v>350.497854820173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683320"/>
        <c:axId val="-2106893224"/>
      </c:scatterChart>
      <c:valAx>
        <c:axId val="-2127683320"/>
        <c:scaling>
          <c:orientation val="minMax"/>
          <c:max val="48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06893224"/>
        <c:crosses val="autoZero"/>
        <c:crossBetween val="midCat"/>
        <c:majorUnit val="6.0"/>
      </c:valAx>
      <c:valAx>
        <c:axId val="-2106893224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6833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MyAutocorrelate!$D$40:$O$40</c:f>
              <c:numCache>
                <c:formatCode>General</c:formatCode>
                <c:ptCount val="12"/>
                <c:pt idx="0">
                  <c:v>-0.0347639901697616</c:v>
                </c:pt>
                <c:pt idx="1">
                  <c:v>0.055244763007256</c:v>
                </c:pt>
                <c:pt idx="2">
                  <c:v>-0.0168152589854224</c:v>
                </c:pt>
                <c:pt idx="3">
                  <c:v>-0.163061647535729</c:v>
                </c:pt>
                <c:pt idx="4">
                  <c:v>0.113243724572171</c:v>
                </c:pt>
                <c:pt idx="5">
                  <c:v>-0.179113027756128</c:v>
                </c:pt>
                <c:pt idx="6">
                  <c:v>0.131300838676184</c:v>
                </c:pt>
                <c:pt idx="7">
                  <c:v>-0.321380668487607</c:v>
                </c:pt>
                <c:pt idx="8">
                  <c:v>-0.0122975696784042</c:v>
                </c:pt>
                <c:pt idx="9">
                  <c:v>-0.107093884735181</c:v>
                </c:pt>
                <c:pt idx="10">
                  <c:v>0.0537560791394742</c:v>
                </c:pt>
                <c:pt idx="11">
                  <c:v>0.404258665504035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08407960"/>
        <c:axId val="-2096608904"/>
      </c:barChart>
      <c:lineChart>
        <c:grouping val="standard"/>
        <c:varyColors val="0"/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val>
            <c:numRef>
              <c:f>MyAutocorrelate!$D$41:$O$41</c:f>
              <c:numCache>
                <c:formatCode>General</c:formatCode>
                <c:ptCount val="12"/>
                <c:pt idx="0">
                  <c:v>0.33</c:v>
                </c:pt>
                <c:pt idx="1">
                  <c:v>0.33</c:v>
                </c:pt>
                <c:pt idx="2">
                  <c:v>0.33</c:v>
                </c:pt>
                <c:pt idx="3">
                  <c:v>0.33</c:v>
                </c:pt>
                <c:pt idx="4">
                  <c:v>0.33</c:v>
                </c:pt>
                <c:pt idx="5">
                  <c:v>0.33</c:v>
                </c:pt>
                <c:pt idx="6">
                  <c:v>0.33</c:v>
                </c:pt>
                <c:pt idx="7">
                  <c:v>0.33</c:v>
                </c:pt>
                <c:pt idx="8">
                  <c:v>0.33</c:v>
                </c:pt>
                <c:pt idx="9">
                  <c:v>0.33</c:v>
                </c:pt>
                <c:pt idx="10">
                  <c:v>0.33</c:v>
                </c:pt>
                <c:pt idx="11">
                  <c:v>0.33</c:v>
                </c:pt>
              </c:numCache>
            </c:numRef>
          </c: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val>
            <c:numRef>
              <c:f>MyAutocorrelate!$D$42:$O$42</c:f>
              <c:numCache>
                <c:formatCode>General</c:formatCode>
                <c:ptCount val="12"/>
                <c:pt idx="0">
                  <c:v>-0.33</c:v>
                </c:pt>
                <c:pt idx="1">
                  <c:v>-0.33</c:v>
                </c:pt>
                <c:pt idx="2">
                  <c:v>-0.33</c:v>
                </c:pt>
                <c:pt idx="3">
                  <c:v>-0.33</c:v>
                </c:pt>
                <c:pt idx="4">
                  <c:v>-0.33</c:v>
                </c:pt>
                <c:pt idx="5">
                  <c:v>-0.33</c:v>
                </c:pt>
                <c:pt idx="6">
                  <c:v>-0.33</c:v>
                </c:pt>
                <c:pt idx="7">
                  <c:v>-0.33</c:v>
                </c:pt>
                <c:pt idx="8">
                  <c:v>-0.33</c:v>
                </c:pt>
                <c:pt idx="9">
                  <c:v>-0.33</c:v>
                </c:pt>
                <c:pt idx="10">
                  <c:v>-0.33</c:v>
                </c:pt>
                <c:pt idx="11">
                  <c:v>-0.33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8407960"/>
        <c:axId val="-2096608904"/>
      </c:lineChart>
      <c:catAx>
        <c:axId val="-20084079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6608904"/>
        <c:crosses val="autoZero"/>
        <c:auto val="1"/>
        <c:lblAlgn val="ctr"/>
        <c:lblOffset val="100"/>
        <c:noMultiLvlLbl val="0"/>
      </c:catAx>
      <c:valAx>
        <c:axId val="-2096608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8407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-0.0347639076208207</c:v>
                </c:pt>
                <c:pt idx="1">
                  <c:v>0.0552447712376637</c:v>
                </c:pt>
                <c:pt idx="2">
                  <c:v>-0.0168152510599977</c:v>
                </c:pt>
                <c:pt idx="3">
                  <c:v>-0.163061630117433</c:v>
                </c:pt>
                <c:pt idx="4">
                  <c:v>0.113243705217588</c:v>
                </c:pt>
                <c:pt idx="5">
                  <c:v>-0.179113017622467</c:v>
                </c:pt>
                <c:pt idx="6">
                  <c:v>0.131300816961792</c:v>
                </c:pt>
                <c:pt idx="7">
                  <c:v>-0.321380641412932</c:v>
                </c:pt>
                <c:pt idx="8">
                  <c:v>-0.0122975834813421</c:v>
                </c:pt>
                <c:pt idx="9">
                  <c:v>-0.107093841030048</c:v>
                </c:pt>
                <c:pt idx="10">
                  <c:v>0.0537560985543466</c:v>
                </c:pt>
                <c:pt idx="11">
                  <c:v>0.404258681982186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-2113842568"/>
        <c:axId val="-2110502072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3842568"/>
        <c:axId val="-2110502072"/>
      </c:lineChart>
      <c:catAx>
        <c:axId val="-2113842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-2110502072"/>
        <c:crosses val="autoZero"/>
        <c:auto val="1"/>
        <c:lblAlgn val="ctr"/>
        <c:lblOffset val="100"/>
        <c:noMultiLvlLbl val="0"/>
      </c:catAx>
      <c:valAx>
        <c:axId val="-2110502072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1384256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0.0105882352941176"/>
                  <c:y val="0.326598127199166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166.9646058574301</c:v>
                </c:pt>
                <c:pt idx="1">
                  <c:v>164.5085716784093</c:v>
                </c:pt>
                <c:pt idx="2">
                  <c:v>157.5675359705235</c:v>
                </c:pt>
                <c:pt idx="3">
                  <c:v>156.6955420105338</c:v>
                </c:pt>
                <c:pt idx="4">
                  <c:v>157.237135705405</c:v>
                </c:pt>
                <c:pt idx="5">
                  <c:v>176.5142395181901</c:v>
                </c:pt>
                <c:pt idx="6">
                  <c:v>165.0671103716029</c:v>
                </c:pt>
                <c:pt idx="7">
                  <c:v>161.8784909022376</c:v>
                </c:pt>
                <c:pt idx="8">
                  <c:v>160.8512770989385</c:v>
                </c:pt>
                <c:pt idx="9">
                  <c:v>166.3056074853527</c:v>
                </c:pt>
                <c:pt idx="10">
                  <c:v>165.0680421843368</c:v>
                </c:pt>
                <c:pt idx="11">
                  <c:v>168.6039639170131</c:v>
                </c:pt>
                <c:pt idx="12">
                  <c:v>171.012232666095</c:v>
                </c:pt>
                <c:pt idx="13">
                  <c:v>159.6983795240699</c:v>
                </c:pt>
                <c:pt idx="14">
                  <c:v>173.6458559675157</c:v>
                </c:pt>
                <c:pt idx="15">
                  <c:v>161.0786340947445</c:v>
                </c:pt>
                <c:pt idx="16">
                  <c:v>180.2474482476593</c:v>
                </c:pt>
                <c:pt idx="17">
                  <c:v>177.6174535151788</c:v>
                </c:pt>
                <c:pt idx="18">
                  <c:v>175.9267886855241</c:v>
                </c:pt>
                <c:pt idx="19">
                  <c:v>182.3830997498544</c:v>
                </c:pt>
                <c:pt idx="20">
                  <c:v>187.1540016559977</c:v>
                </c:pt>
                <c:pt idx="21">
                  <c:v>185.002687616842</c:v>
                </c:pt>
                <c:pt idx="22">
                  <c:v>190.8301065714877</c:v>
                </c:pt>
                <c:pt idx="23">
                  <c:v>190.1985602807685</c:v>
                </c:pt>
                <c:pt idx="24">
                  <c:v>191.2503667094199</c:v>
                </c:pt>
                <c:pt idx="25">
                  <c:v>209.7243779292002</c:v>
                </c:pt>
                <c:pt idx="26">
                  <c:v>198.2992799629037</c:v>
                </c:pt>
                <c:pt idx="27">
                  <c:v>218.0588311894841</c:v>
                </c:pt>
                <c:pt idx="28">
                  <c:v>201.3402347447258</c:v>
                </c:pt>
                <c:pt idx="29">
                  <c:v>212.9203014188168</c:v>
                </c:pt>
                <c:pt idx="30">
                  <c:v>229.1392124237382</c:v>
                </c:pt>
                <c:pt idx="31">
                  <c:v>224.4715073844362</c:v>
                </c:pt>
                <c:pt idx="32">
                  <c:v>218.5149424740297</c:v>
                </c:pt>
                <c:pt idx="33">
                  <c:v>214.5243930876147</c:v>
                </c:pt>
                <c:pt idx="34">
                  <c:v>251.8957406743637</c:v>
                </c:pt>
                <c:pt idx="35">
                  <c:v>252.4906651762167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834376"/>
        <c:axId val="-2113446232"/>
      </c:scatterChart>
      <c:valAx>
        <c:axId val="-2106834376"/>
        <c:scaling>
          <c:orientation val="minMax"/>
          <c:max val="36.0"/>
        </c:scaling>
        <c:delete val="0"/>
        <c:axPos val="b"/>
        <c:majorTickMark val="out"/>
        <c:minorTickMark val="none"/>
        <c:tickLblPos val="nextTo"/>
        <c:crossAx val="-2113446232"/>
        <c:crosses val="autoZero"/>
        <c:crossBetween val="midCat"/>
        <c:majorUnit val="6.0"/>
      </c:valAx>
      <c:valAx>
        <c:axId val="-2113446232"/>
        <c:scaling>
          <c:orientation val="minMax"/>
          <c:min val="100.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-2106834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874468503937008"/>
          <c:y val="0.144692124752012"/>
          <c:w val="0.886701443569554"/>
          <c:h val="0.737962367380134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152.0</c:v>
                </c:pt>
                <c:pt idx="1">
                  <c:v>150.0</c:v>
                </c:pt>
                <c:pt idx="2">
                  <c:v>159.0</c:v>
                </c:pt>
                <c:pt idx="3">
                  <c:v>169.0</c:v>
                </c:pt>
                <c:pt idx="4">
                  <c:v>173.0</c:v>
                </c:pt>
                <c:pt idx="5">
                  <c:v>203.0</c:v>
                </c:pt>
                <c:pt idx="6">
                  <c:v>169.0</c:v>
                </c:pt>
                <c:pt idx="7">
                  <c:v>166.0</c:v>
                </c:pt>
                <c:pt idx="8">
                  <c:v>162.0</c:v>
                </c:pt>
                <c:pt idx="9">
                  <c:v>147.0</c:v>
                </c:pt>
                <c:pt idx="10">
                  <c:v>188.0</c:v>
                </c:pt>
                <c:pt idx="11">
                  <c:v>161.0</c:v>
                </c:pt>
                <c:pt idx="12">
                  <c:v>162.0</c:v>
                </c:pt>
                <c:pt idx="13">
                  <c:v>169.0</c:v>
                </c:pt>
                <c:pt idx="14">
                  <c:v>185.0</c:v>
                </c:pt>
                <c:pt idx="15">
                  <c:v>188.0</c:v>
                </c:pt>
                <c:pt idx="16">
                  <c:v>200.0</c:v>
                </c:pt>
                <c:pt idx="17">
                  <c:v>229.0</c:v>
                </c:pt>
                <c:pt idx="18">
                  <c:v>189.0</c:v>
                </c:pt>
                <c:pt idx="19">
                  <c:v>218.0</c:v>
                </c:pt>
                <c:pt idx="20">
                  <c:v>185.0</c:v>
                </c:pt>
                <c:pt idx="21">
                  <c:v>199.0</c:v>
                </c:pt>
                <c:pt idx="22">
                  <c:v>210.0</c:v>
                </c:pt>
                <c:pt idx="23">
                  <c:v>193.0</c:v>
                </c:pt>
              </c:numCache>
            </c:numRef>
          </c:val>
          <c:smooth val="0"/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163.1666666666667</c:v>
                </c:pt>
                <c:pt idx="1">
                  <c:v>163.125</c:v>
                </c:pt>
                <c:pt idx="2">
                  <c:v>163.5416666666667</c:v>
                </c:pt>
                <c:pt idx="3">
                  <c:v>164.3333333333333</c:v>
                </c:pt>
                <c:pt idx="4">
                  <c:v>165.5</c:v>
                </c:pt>
                <c:pt idx="5">
                  <c:v>166.5416666666667</c:v>
                </c:pt>
                <c:pt idx="6">
                  <c:v>167.0</c:v>
                </c:pt>
                <c:pt idx="7">
                  <c:v>168.2083333333333</c:v>
                </c:pt>
                <c:pt idx="8">
                  <c:v>170.0833333333333</c:v>
                </c:pt>
                <c:pt idx="9">
                  <c:v>171.9583333333333</c:v>
                </c:pt>
                <c:pt idx="10">
                  <c:v>173.875</c:v>
                </c:pt>
                <c:pt idx="11">
                  <c:v>176.0833333333333</c:v>
                </c:pt>
                <c:pt idx="12">
                  <c:v>178.0</c:v>
                </c:pt>
                <c:pt idx="13">
                  <c:v>181.0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</c:v>
                </c:pt>
                <c:pt idx="17">
                  <c:v>192.5833333333333</c:v>
                </c:pt>
                <c:pt idx="18">
                  <c:v>195.9583333333333</c:v>
                </c:pt>
                <c:pt idx="19">
                  <c:v>199.625</c:v>
                </c:pt>
                <c:pt idx="20">
                  <c:v>202.5416666666667</c:v>
                </c:pt>
                <c:pt idx="21">
                  <c:v>205.0833333333333</c:v>
                </c:pt>
                <c:pt idx="22">
                  <c:v>209.0</c:v>
                </c:pt>
                <c:pt idx="23">
                  <c:v>214.7916666666667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845608"/>
        <c:axId val="2072493768"/>
      </c:lineChart>
      <c:catAx>
        <c:axId val="-212784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93768"/>
        <c:crosses val="autoZero"/>
        <c:auto val="1"/>
        <c:lblAlgn val="ctr"/>
        <c:lblOffset val="100"/>
        <c:noMultiLvlLbl val="0"/>
      </c:catAx>
      <c:valAx>
        <c:axId val="2072493768"/>
        <c:scaling>
          <c:orientation val="minMax"/>
          <c:min val="10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7845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"/>
          <c:y val="0.588231118997449"/>
          <c:w val="0.297751888156838"/>
          <c:h val="0.17107833351816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-0.0117666007555375</c:v>
                </c:pt>
                <c:pt idx="1">
                  <c:v>0.0394595142086607</c:v>
                </c:pt>
                <c:pt idx="2">
                  <c:v>-0.0670667082875522</c:v>
                </c:pt>
                <c:pt idx="3">
                  <c:v>-0.0874022440894528</c:v>
                </c:pt>
                <c:pt idx="4">
                  <c:v>0.0430106047420362</c:v>
                </c:pt>
                <c:pt idx="5">
                  <c:v>-0.0935575484633254</c:v>
                </c:pt>
                <c:pt idx="6">
                  <c:v>-0.0791624106230848</c:v>
                </c:pt>
                <c:pt idx="7">
                  <c:v>-0.0733790563281895</c:v>
                </c:pt>
                <c:pt idx="8">
                  <c:v>-0.0115092471277043</c:v>
                </c:pt>
                <c:pt idx="9">
                  <c:v>0.0162014531884298</c:v>
                </c:pt>
                <c:pt idx="10">
                  <c:v>0.0480526558060541</c:v>
                </c:pt>
                <c:pt idx="11">
                  <c:v>0.204004907618403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3427384"/>
        <c:axId val="-2110724120"/>
      </c:barChart>
      <c:catAx>
        <c:axId val="-21134273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0724120"/>
        <c:crosses val="autoZero"/>
        <c:auto val="1"/>
        <c:lblAlgn val="ctr"/>
        <c:lblOffset val="100"/>
        <c:noMultiLvlLbl val="0"/>
      </c:catAx>
      <c:valAx>
        <c:axId val="-2110724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21134273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MyHoltWintersInitial!$B$8:$B$31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xVal>
          <c:yVal>
            <c:numRef>
              <c:f>MyHoltWintersInitial!$C$8:$C$31</c:f>
              <c:numCache>
                <c:formatCode>General</c:formatCode>
                <c:ptCount val="24"/>
                <c:pt idx="0">
                  <c:v>152.0</c:v>
                </c:pt>
                <c:pt idx="1">
                  <c:v>150.0</c:v>
                </c:pt>
                <c:pt idx="2">
                  <c:v>159.0</c:v>
                </c:pt>
                <c:pt idx="3">
                  <c:v>169.0</c:v>
                </c:pt>
                <c:pt idx="4">
                  <c:v>173.0</c:v>
                </c:pt>
                <c:pt idx="5">
                  <c:v>203.0</c:v>
                </c:pt>
                <c:pt idx="6">
                  <c:v>169.0</c:v>
                </c:pt>
                <c:pt idx="7">
                  <c:v>166.0</c:v>
                </c:pt>
                <c:pt idx="8">
                  <c:v>162.0</c:v>
                </c:pt>
                <c:pt idx="9">
                  <c:v>147.0</c:v>
                </c:pt>
                <c:pt idx="10">
                  <c:v>188.0</c:v>
                </c:pt>
                <c:pt idx="11">
                  <c:v>161.0</c:v>
                </c:pt>
                <c:pt idx="12">
                  <c:v>162.0</c:v>
                </c:pt>
                <c:pt idx="13">
                  <c:v>169.0</c:v>
                </c:pt>
                <c:pt idx="14">
                  <c:v>185.0</c:v>
                </c:pt>
                <c:pt idx="15">
                  <c:v>188.0</c:v>
                </c:pt>
                <c:pt idx="16">
                  <c:v>200.0</c:v>
                </c:pt>
                <c:pt idx="17">
                  <c:v>229.0</c:v>
                </c:pt>
                <c:pt idx="18">
                  <c:v>189.0</c:v>
                </c:pt>
                <c:pt idx="19">
                  <c:v>218.0</c:v>
                </c:pt>
                <c:pt idx="20">
                  <c:v>185.0</c:v>
                </c:pt>
                <c:pt idx="21">
                  <c:v>199.0</c:v>
                </c:pt>
                <c:pt idx="22">
                  <c:v>210.0</c:v>
                </c:pt>
                <c:pt idx="23">
                  <c:v>193.0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MyHoltWintersInitial!$B$8:$B$31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xVal>
          <c:yVal>
            <c:numRef>
              <c:f>MyHoltWintersInitial!$D$8:$D$31</c:f>
              <c:numCache>
                <c:formatCode>General</c:formatCode>
                <c:ptCount val="24"/>
                <c:pt idx="0">
                  <c:v>163.1666666666667</c:v>
                </c:pt>
                <c:pt idx="1">
                  <c:v>163.125</c:v>
                </c:pt>
                <c:pt idx="2">
                  <c:v>163.5416666666667</c:v>
                </c:pt>
                <c:pt idx="3">
                  <c:v>164.3333333333333</c:v>
                </c:pt>
                <c:pt idx="4">
                  <c:v>165.5</c:v>
                </c:pt>
                <c:pt idx="5">
                  <c:v>166.5416666666667</c:v>
                </c:pt>
                <c:pt idx="6">
                  <c:v>167.0</c:v>
                </c:pt>
                <c:pt idx="7">
                  <c:v>168.2083333333333</c:v>
                </c:pt>
                <c:pt idx="8">
                  <c:v>170.0833333333333</c:v>
                </c:pt>
                <c:pt idx="9">
                  <c:v>171.9583333333333</c:v>
                </c:pt>
                <c:pt idx="10">
                  <c:v>173.875</c:v>
                </c:pt>
                <c:pt idx="11">
                  <c:v>176.0833333333333</c:v>
                </c:pt>
                <c:pt idx="12">
                  <c:v>178.0</c:v>
                </c:pt>
                <c:pt idx="13">
                  <c:v>181.0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</c:v>
                </c:pt>
                <c:pt idx="17">
                  <c:v>192.5833333333333</c:v>
                </c:pt>
                <c:pt idx="18">
                  <c:v>195.9583333333333</c:v>
                </c:pt>
                <c:pt idx="19">
                  <c:v>199.625</c:v>
                </c:pt>
                <c:pt idx="20">
                  <c:v>202.5416666666667</c:v>
                </c:pt>
                <c:pt idx="21">
                  <c:v>205.0833333333333</c:v>
                </c:pt>
                <c:pt idx="22">
                  <c:v>209.0</c:v>
                </c:pt>
                <c:pt idx="23">
                  <c:v>214.7916666666667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631864"/>
        <c:axId val="-2075646600"/>
      </c:scatterChart>
      <c:valAx>
        <c:axId val="-2075631864"/>
        <c:scaling>
          <c:orientation val="minMax"/>
          <c:max val="29.0"/>
          <c:min val="7.0"/>
        </c:scaling>
        <c:delete val="0"/>
        <c:axPos val="b"/>
        <c:numFmt formatCode="General" sourceLinked="1"/>
        <c:majorTickMark val="out"/>
        <c:minorTickMark val="none"/>
        <c:tickLblPos val="nextTo"/>
        <c:crossAx val="-2075646600"/>
        <c:crosses val="autoZero"/>
        <c:crossBetween val="midCat"/>
      </c:valAx>
      <c:valAx>
        <c:axId val="-2075646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756318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MyHoltWintersInitial!$J$1</c:f>
              <c:strCache>
                <c:ptCount val="1"/>
                <c:pt idx="0">
                  <c:v>Seasonally Adjusted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0968886701662292"/>
                  <c:y val="0.234006999125109"/>
                </c:manualLayout>
              </c:layout>
              <c:numFmt formatCode="General" sourceLinked="0"/>
            </c:trendlineLbl>
          </c:trendline>
          <c:xVal>
            <c:numRef>
              <c:f>MyHoltWintersInitial!$B$2:$B$37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MyHoltWintersInitial!$J$2:$J$37</c:f>
              <c:numCache>
                <c:formatCode>General</c:formatCode>
                <c:ptCount val="36"/>
                <c:pt idx="0">
                  <c:v>166.9646058574301</c:v>
                </c:pt>
                <c:pt idx="1">
                  <c:v>164.5085716784093</c:v>
                </c:pt>
                <c:pt idx="2">
                  <c:v>157.5675359705235</c:v>
                </c:pt>
                <c:pt idx="3">
                  <c:v>156.6955420105338</c:v>
                </c:pt>
                <c:pt idx="4">
                  <c:v>157.237135705405</c:v>
                </c:pt>
                <c:pt idx="5">
                  <c:v>176.5142395181901</c:v>
                </c:pt>
                <c:pt idx="6">
                  <c:v>165.0671103716029</c:v>
                </c:pt>
                <c:pt idx="7">
                  <c:v>161.8784909022376</c:v>
                </c:pt>
                <c:pt idx="8">
                  <c:v>160.8512770989385</c:v>
                </c:pt>
                <c:pt idx="9">
                  <c:v>166.3056074853527</c:v>
                </c:pt>
                <c:pt idx="10">
                  <c:v>165.0680421843368</c:v>
                </c:pt>
                <c:pt idx="11">
                  <c:v>168.6039639170131</c:v>
                </c:pt>
                <c:pt idx="12">
                  <c:v>171.012232666095</c:v>
                </c:pt>
                <c:pt idx="13">
                  <c:v>159.6983795240699</c:v>
                </c:pt>
                <c:pt idx="14">
                  <c:v>173.6458559675157</c:v>
                </c:pt>
                <c:pt idx="15">
                  <c:v>161.0786340947445</c:v>
                </c:pt>
                <c:pt idx="16">
                  <c:v>180.2474482476593</c:v>
                </c:pt>
                <c:pt idx="17">
                  <c:v>177.6174535151788</c:v>
                </c:pt>
                <c:pt idx="18">
                  <c:v>175.9267886855241</c:v>
                </c:pt>
                <c:pt idx="19">
                  <c:v>182.3830997498544</c:v>
                </c:pt>
                <c:pt idx="20">
                  <c:v>187.1540016559977</c:v>
                </c:pt>
                <c:pt idx="21">
                  <c:v>185.002687616842</c:v>
                </c:pt>
                <c:pt idx="22">
                  <c:v>190.8301065714877</c:v>
                </c:pt>
                <c:pt idx="23">
                  <c:v>190.1985602807685</c:v>
                </c:pt>
                <c:pt idx="24">
                  <c:v>191.2503667094199</c:v>
                </c:pt>
                <c:pt idx="25">
                  <c:v>209.7243779292002</c:v>
                </c:pt>
                <c:pt idx="26">
                  <c:v>198.2992799629037</c:v>
                </c:pt>
                <c:pt idx="27">
                  <c:v>218.0588311894841</c:v>
                </c:pt>
                <c:pt idx="28">
                  <c:v>201.3402347447258</c:v>
                </c:pt>
                <c:pt idx="29">
                  <c:v>212.9203014188168</c:v>
                </c:pt>
                <c:pt idx="30">
                  <c:v>229.1392124237382</c:v>
                </c:pt>
                <c:pt idx="31">
                  <c:v>224.4715073844362</c:v>
                </c:pt>
                <c:pt idx="32">
                  <c:v>218.5149424740297</c:v>
                </c:pt>
                <c:pt idx="33">
                  <c:v>214.5243930876147</c:v>
                </c:pt>
                <c:pt idx="34">
                  <c:v>251.8957406743637</c:v>
                </c:pt>
                <c:pt idx="35">
                  <c:v>252.4906651762167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820472"/>
        <c:axId val="-2094712440"/>
      </c:scatterChart>
      <c:valAx>
        <c:axId val="-207482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712440"/>
        <c:crosses val="autoZero"/>
        <c:crossBetween val="midCat"/>
      </c:valAx>
      <c:valAx>
        <c:axId val="-2094712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748204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MyHoltWintersSeasonal!$A$17:$A$64</c:f>
              <c:numCache>
                <c:formatCode>General</c:formatCode>
                <c:ptCount val="4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</c:numCache>
            </c:numRef>
          </c:xVal>
          <c:yVal>
            <c:numRef>
              <c:f>MyHoltWintersSeasonal!$B$17:$B$64</c:f>
              <c:numCache>
                <c:formatCode>General</c:formatCode>
                <c:ptCount val="48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MyHoltWintersSeasonal!$A$53:$A$64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MyHoltWintersSeasonal!$C$53:$C$64</c:f>
              <c:numCache>
                <c:formatCode>General</c:formatCode>
                <c:ptCount val="12"/>
                <c:pt idx="0">
                  <c:v>245.4396365211086</c:v>
                </c:pt>
                <c:pt idx="1">
                  <c:v>263.6110031242914</c:v>
                </c:pt>
                <c:pt idx="2">
                  <c:v>241.4858814408543</c:v>
                </c:pt>
                <c:pt idx="3">
                  <c:v>241.0058616117381</c:v>
                </c:pt>
                <c:pt idx="4">
                  <c:v>280.9136536923127</c:v>
                </c:pt>
                <c:pt idx="5">
                  <c:v>248.883287452534</c:v>
                </c:pt>
                <c:pt idx="6">
                  <c:v>257.6627234047473</c:v>
                </c:pt>
                <c:pt idx="7">
                  <c:v>264.1382403646589</c:v>
                </c:pt>
                <c:pt idx="8">
                  <c:v>286.9561316216847</c:v>
                </c:pt>
                <c:pt idx="9">
                  <c:v>300.3273003544231</c:v>
                </c:pt>
                <c:pt idx="10">
                  <c:v>315.2343672592941</c:v>
                </c:pt>
                <c:pt idx="11">
                  <c:v>368.45312416555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7915944"/>
        <c:axId val="-2007002664"/>
      </c:scatterChart>
      <c:valAx>
        <c:axId val="-2007915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07002664"/>
        <c:crosses val="autoZero"/>
        <c:crossBetween val="midCat"/>
      </c:valAx>
      <c:valAx>
        <c:axId val="-2007002664"/>
        <c:scaling>
          <c:orientation val="minMax"/>
          <c:max val="450.0"/>
          <c:min val="10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7915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245.3986114701218</c:v>
                </c:pt>
                <c:pt idx="1">
                  <c:v>263.5395761691209</c:v>
                </c:pt>
                <c:pt idx="2">
                  <c:v>241.3963968792999</c:v>
                </c:pt>
                <c:pt idx="3">
                  <c:v>240.893503142278</c:v>
                </c:pt>
                <c:pt idx="4">
                  <c:v>280.7568669496011</c:v>
                </c:pt>
                <c:pt idx="5">
                  <c:v>248.722372812534</c:v>
                </c:pt>
                <c:pt idx="6">
                  <c:v>257.4742047128727</c:v>
                </c:pt>
                <c:pt idx="7">
                  <c:v>263.9233317759486</c:v>
                </c:pt>
                <c:pt idx="8">
                  <c:v>286.69998486434</c:v>
                </c:pt>
                <c:pt idx="9">
                  <c:v>300.0363302842015</c:v>
                </c:pt>
                <c:pt idx="10">
                  <c:v>314.9057681216426</c:v>
                </c:pt>
                <c:pt idx="11">
                  <c:v>368.0428775604438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593224"/>
        <c:axId val="-2007260024"/>
      </c:scatterChart>
      <c:valAx>
        <c:axId val="-2113593224"/>
        <c:scaling>
          <c:orientation val="minMax"/>
          <c:max val="48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07260024"/>
        <c:crosses val="autoZero"/>
        <c:crossBetween val="midCat"/>
        <c:majorUnit val="6.0"/>
      </c:valAx>
      <c:valAx>
        <c:axId val="-2007260024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13593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-0.0120879862190753</c:v>
                </c:pt>
                <c:pt idx="1">
                  <c:v>-0.0662804810733309</c:v>
                </c:pt>
                <c:pt idx="2">
                  <c:v>-0.0818497480263454</c:v>
                </c:pt>
                <c:pt idx="3">
                  <c:v>0.200110641664575</c:v>
                </c:pt>
                <c:pt idx="4">
                  <c:v>0.227876247494403</c:v>
                </c:pt>
                <c:pt idx="5">
                  <c:v>-0.106031621374695</c:v>
                </c:pt>
                <c:pt idx="6">
                  <c:v>-0.00172831803463199</c:v>
                </c:pt>
                <c:pt idx="7">
                  <c:v>-0.0835942052620749</c:v>
                </c:pt>
                <c:pt idx="8">
                  <c:v>0.109864444870653</c:v>
                </c:pt>
                <c:pt idx="9">
                  <c:v>-0.0482089277079584</c:v>
                </c:pt>
                <c:pt idx="10">
                  <c:v>0.0824323533085199</c:v>
                </c:pt>
                <c:pt idx="11">
                  <c:v>-0.216164898168237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-2071363288"/>
        <c:axId val="-2110955752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1363288"/>
        <c:axId val="-2110955752"/>
      </c:lineChart>
      <c:catAx>
        <c:axId val="-2071363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-2110955752"/>
        <c:crosses val="autoZero"/>
        <c:auto val="1"/>
        <c:lblAlgn val="ctr"/>
        <c:lblOffset val="100"/>
        <c:noMultiLvlLbl val="0"/>
      </c:catAx>
      <c:valAx>
        <c:axId val="-2110955752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13632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263.5924575056121</c:v>
                </c:pt>
                <c:pt idx="1">
                  <c:v>284.284801306921</c:v>
                </c:pt>
                <c:pt idx="2">
                  <c:v>264.7001118100055</c:v>
                </c:pt>
                <c:pt idx="3">
                  <c:v>266.1974262044367</c:v>
                </c:pt>
                <c:pt idx="4">
                  <c:v>309.378977674142</c:v>
                </c:pt>
                <c:pt idx="5">
                  <c:v>279.5457584004199</c:v>
                </c:pt>
                <c:pt idx="6">
                  <c:v>291.2321275881547</c:v>
                </c:pt>
                <c:pt idx="7">
                  <c:v>300.170278225514</c:v>
                </c:pt>
                <c:pt idx="8">
                  <c:v>326.6543002924377</c:v>
                </c:pt>
                <c:pt idx="9">
                  <c:v>348.2146780049311</c:v>
                </c:pt>
                <c:pt idx="10">
                  <c:v>370.7438480055632</c:v>
                </c:pt>
                <c:pt idx="11">
                  <c:v>436.8168564828468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245.3985965280365</c:v>
                </c:pt>
                <c:pt idx="1">
                  <c:v>263.5395469028751</c:v>
                </c:pt>
                <c:pt idx="2">
                  <c:v>241.3963584513018</c:v>
                </c:pt>
                <c:pt idx="3">
                  <c:v>240.8934536559648</c:v>
                </c:pt>
                <c:pt idx="4">
                  <c:v>280.75679679564</c:v>
                </c:pt>
                <c:pt idx="5">
                  <c:v>248.7223000285764</c:v>
                </c:pt>
                <c:pt idx="6">
                  <c:v>257.4741187696846</c:v>
                </c:pt>
                <c:pt idx="7">
                  <c:v>263.9232332142491</c:v>
                </c:pt>
                <c:pt idx="8">
                  <c:v>286.6998668365162</c:v>
                </c:pt>
                <c:pt idx="9">
                  <c:v>300.0361957012165</c:v>
                </c:pt>
                <c:pt idx="10">
                  <c:v>314.9056156587345</c:v>
                </c:pt>
                <c:pt idx="11">
                  <c:v>368.0426867162483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</c:v>
                </c:pt>
                <c:pt idx="1">
                  <c:v>240.7928263758799</c:v>
                </c:pt>
                <c:pt idx="2">
                  <c:v>218.6764816432059</c:v>
                </c:pt>
                <c:pt idx="3">
                  <c:v>216.8198489257205</c:v>
                </c:pt>
                <c:pt idx="4">
                  <c:v>251.6614619303025</c:v>
                </c:pt>
                <c:pt idx="5">
                  <c:v>220.2130080085208</c:v>
                </c:pt>
                <c:pt idx="6">
                  <c:v>224.3302766998362</c:v>
                </c:pt>
                <c:pt idx="7">
                  <c:v>230.7294852765398</c:v>
                </c:pt>
                <c:pt idx="8">
                  <c:v>243.5265647234307</c:v>
                </c:pt>
                <c:pt idx="9">
                  <c:v>254.1289407019935</c:v>
                </c:pt>
                <c:pt idx="10">
                  <c:v>263.2931999906471</c:v>
                </c:pt>
                <c:pt idx="11">
                  <c:v>302.7681048436996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354648"/>
        <c:axId val="-2068820360"/>
      </c:areaChart>
      <c:catAx>
        <c:axId val="-2066354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8820360"/>
        <c:crosses val="autoZero"/>
        <c:auto val="1"/>
        <c:lblAlgn val="ctr"/>
        <c:lblOffset val="100"/>
        <c:noMultiLvlLbl val="0"/>
      </c:catAx>
      <c:valAx>
        <c:axId val="-2068820360"/>
        <c:scaling>
          <c:orientation val="minMax"/>
          <c:min val="2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6354648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Relationship Id="rId3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Relationship Id="rId2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105834</xdr:colOff>
      <xdr:row>0</xdr:row>
      <xdr:rowOff>0</xdr:rowOff>
    </xdr:from>
    <xdr:to>
      <xdr:col>12</xdr:col>
      <xdr:colOff>258234</xdr:colOff>
      <xdr:row>35</xdr:row>
      <xdr:rowOff>93134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330200</xdr:colOff>
      <xdr:row>12</xdr:row>
      <xdr:rowOff>95250</xdr:rowOff>
    </xdr:from>
    <xdr:to>
      <xdr:col>13</xdr:col>
      <xdr:colOff>774700</xdr:colOff>
      <xdr:row>26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165100</xdr:colOff>
      <xdr:row>29</xdr:row>
      <xdr:rowOff>120650</xdr:rowOff>
    </xdr:from>
    <xdr:to>
      <xdr:col>15</xdr:col>
      <xdr:colOff>609600</xdr:colOff>
      <xdr:row>44</xdr:row>
      <xdr:rowOff>6350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508000</xdr:colOff>
      <xdr:row>37</xdr:row>
      <xdr:rowOff>76200</xdr:rowOff>
    </xdr:from>
    <xdr:to>
      <xdr:col>18</xdr:col>
      <xdr:colOff>698500</xdr:colOff>
      <xdr:row>58</xdr:row>
      <xdr:rowOff>50800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482600</xdr:colOff>
      <xdr:row>22</xdr:row>
      <xdr:rowOff>133350</xdr:rowOff>
    </xdr:from>
    <xdr:to>
      <xdr:col>12</xdr:col>
      <xdr:colOff>101600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368300</xdr:colOff>
      <xdr:row>29</xdr:row>
      <xdr:rowOff>133350</xdr:rowOff>
    </xdr:from>
    <xdr:to>
      <xdr:col>16</xdr:col>
      <xdr:colOff>812800</xdr:colOff>
      <xdr:row>44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660400</xdr:colOff>
      <xdr:row>12</xdr:row>
      <xdr:rowOff>82550</xdr:rowOff>
    </xdr:from>
    <xdr:to>
      <xdr:col>17</xdr:col>
      <xdr:colOff>279400</xdr:colOff>
      <xdr:row>26</xdr:row>
      <xdr:rowOff>158750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330200</xdr:colOff>
      <xdr:row>44</xdr:row>
      <xdr:rowOff>133350</xdr:rowOff>
    </xdr:from>
    <xdr:to>
      <xdr:col>15</xdr:col>
      <xdr:colOff>774700</xdr:colOff>
      <xdr:row>59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2"/>
  <sheetViews>
    <sheetView topLeftCell="A9" zoomScale="150" zoomScaleNormal="150" zoomScalePageLayoutView="150" workbookViewId="0">
      <selection sqref="A1:B37"/>
    </sheetView>
  </sheetViews>
  <sheetFormatPr baseColWidth="10" defaultColWidth="11" defaultRowHeight="15" x14ac:dyDescent="0"/>
  <cols>
    <col min="1" max="1" width="6.33203125" customWidth="1"/>
    <col min="2" max="2" width="12.1640625" style="14" bestFit="1" customWidth="1"/>
  </cols>
  <sheetData>
    <row r="1" spans="1:2">
      <c r="A1" s="15" t="s">
        <v>1</v>
      </c>
      <c r="B1" s="16" t="s">
        <v>0</v>
      </c>
    </row>
    <row r="2" spans="1:2" s="28" customFormat="1" ht="12" customHeight="1">
      <c r="A2" s="26">
        <v>1</v>
      </c>
      <c r="B2" s="27">
        <v>165</v>
      </c>
    </row>
    <row r="3" spans="1:2" s="28" customFormat="1" ht="12" customHeight="1">
      <c r="A3" s="26">
        <v>2</v>
      </c>
      <c r="B3" s="27">
        <v>171</v>
      </c>
    </row>
    <row r="4" spans="1:2" s="28" customFormat="1" ht="12" customHeight="1">
      <c r="A4" s="26">
        <v>3</v>
      </c>
      <c r="B4" s="27">
        <v>147</v>
      </c>
    </row>
    <row r="5" spans="1:2" s="28" customFormat="1" ht="12" customHeight="1">
      <c r="A5" s="26">
        <v>4</v>
      </c>
      <c r="B5" s="27">
        <v>143</v>
      </c>
    </row>
    <row r="6" spans="1:2" s="28" customFormat="1" ht="12" customHeight="1">
      <c r="A6" s="26">
        <v>5</v>
      </c>
      <c r="B6" s="27">
        <v>164</v>
      </c>
    </row>
    <row r="7" spans="1:2" s="28" customFormat="1" ht="12" customHeight="1">
      <c r="A7" s="26">
        <v>6</v>
      </c>
      <c r="B7" s="27">
        <v>160</v>
      </c>
    </row>
    <row r="8" spans="1:2" s="28" customFormat="1" ht="12" customHeight="1">
      <c r="A8" s="26">
        <v>7</v>
      </c>
      <c r="B8" s="27">
        <v>152</v>
      </c>
    </row>
    <row r="9" spans="1:2" s="28" customFormat="1" ht="12" customHeight="1">
      <c r="A9" s="26">
        <v>8</v>
      </c>
      <c r="B9" s="27">
        <v>150</v>
      </c>
    </row>
    <row r="10" spans="1:2" s="28" customFormat="1" ht="12" customHeight="1">
      <c r="A10" s="26">
        <v>9</v>
      </c>
      <c r="B10" s="27">
        <v>159</v>
      </c>
    </row>
    <row r="11" spans="1:2" s="28" customFormat="1" ht="12" customHeight="1">
      <c r="A11" s="26">
        <v>10</v>
      </c>
      <c r="B11" s="27">
        <v>169</v>
      </c>
    </row>
    <row r="12" spans="1:2" s="28" customFormat="1" ht="12" customHeight="1">
      <c r="A12" s="26">
        <v>11</v>
      </c>
      <c r="B12" s="27">
        <v>173</v>
      </c>
    </row>
    <row r="13" spans="1:2" s="28" customFormat="1" ht="12" customHeight="1">
      <c r="A13" s="26">
        <v>12</v>
      </c>
      <c r="B13" s="27">
        <v>203</v>
      </c>
    </row>
    <row r="14" spans="1:2" s="28" customFormat="1" ht="12" customHeight="1">
      <c r="A14" s="26">
        <v>13</v>
      </c>
      <c r="B14" s="27">
        <v>169</v>
      </c>
    </row>
    <row r="15" spans="1:2" s="28" customFormat="1" ht="12" customHeight="1">
      <c r="A15" s="26">
        <v>14</v>
      </c>
      <c r="B15" s="27">
        <v>166</v>
      </c>
    </row>
    <row r="16" spans="1:2" s="28" customFormat="1" ht="12" customHeight="1">
      <c r="A16" s="26">
        <v>15</v>
      </c>
      <c r="B16" s="27">
        <v>162</v>
      </c>
    </row>
    <row r="17" spans="1:2" s="28" customFormat="1" ht="12" customHeight="1">
      <c r="A17" s="26">
        <v>16</v>
      </c>
      <c r="B17" s="27">
        <v>147</v>
      </c>
    </row>
    <row r="18" spans="1:2" s="28" customFormat="1" ht="12" customHeight="1">
      <c r="A18" s="26">
        <v>17</v>
      </c>
      <c r="B18" s="27">
        <v>188</v>
      </c>
    </row>
    <row r="19" spans="1:2" s="28" customFormat="1" ht="12" customHeight="1">
      <c r="A19" s="26">
        <v>18</v>
      </c>
      <c r="B19" s="27">
        <v>161</v>
      </c>
    </row>
    <row r="20" spans="1:2" s="28" customFormat="1" ht="12" customHeight="1">
      <c r="A20" s="26">
        <v>19</v>
      </c>
      <c r="B20" s="27">
        <v>162</v>
      </c>
    </row>
    <row r="21" spans="1:2" s="28" customFormat="1" ht="12" customHeight="1">
      <c r="A21" s="26">
        <v>20</v>
      </c>
      <c r="B21" s="27">
        <v>169</v>
      </c>
    </row>
    <row r="22" spans="1:2" s="28" customFormat="1" ht="12" customHeight="1">
      <c r="A22" s="26">
        <v>21</v>
      </c>
      <c r="B22" s="27">
        <v>185</v>
      </c>
    </row>
    <row r="23" spans="1:2" s="28" customFormat="1" ht="12" customHeight="1">
      <c r="A23" s="26">
        <v>22</v>
      </c>
      <c r="B23" s="27">
        <v>188</v>
      </c>
    </row>
    <row r="24" spans="1:2" s="28" customFormat="1" ht="12" customHeight="1">
      <c r="A24" s="26">
        <v>23</v>
      </c>
      <c r="B24" s="27">
        <v>200</v>
      </c>
    </row>
    <row r="25" spans="1:2" s="28" customFormat="1" ht="12" customHeight="1">
      <c r="A25" s="26">
        <v>24</v>
      </c>
      <c r="B25" s="27">
        <v>229</v>
      </c>
    </row>
    <row r="26" spans="1:2" s="28" customFormat="1" ht="12" customHeight="1">
      <c r="A26" s="26">
        <v>25</v>
      </c>
      <c r="B26" s="27">
        <v>189</v>
      </c>
    </row>
    <row r="27" spans="1:2" s="28" customFormat="1" ht="12" customHeight="1">
      <c r="A27" s="26">
        <v>26</v>
      </c>
      <c r="B27" s="27">
        <v>218</v>
      </c>
    </row>
    <row r="28" spans="1:2" s="28" customFormat="1" ht="12" customHeight="1">
      <c r="A28" s="26">
        <v>27</v>
      </c>
      <c r="B28" s="27">
        <v>185</v>
      </c>
    </row>
    <row r="29" spans="1:2" s="28" customFormat="1" ht="12" customHeight="1">
      <c r="A29" s="26">
        <v>28</v>
      </c>
      <c r="B29" s="27">
        <v>199</v>
      </c>
    </row>
    <row r="30" spans="1:2" s="28" customFormat="1" ht="12" customHeight="1">
      <c r="A30" s="26">
        <v>29</v>
      </c>
      <c r="B30" s="27">
        <v>210</v>
      </c>
    </row>
    <row r="31" spans="1:2" s="28" customFormat="1" ht="12" customHeight="1">
      <c r="A31" s="26">
        <v>30</v>
      </c>
      <c r="B31" s="27">
        <v>193</v>
      </c>
    </row>
    <row r="32" spans="1:2" s="28" customFormat="1" ht="12" customHeight="1">
      <c r="A32" s="26">
        <v>31</v>
      </c>
      <c r="B32" s="27">
        <v>211</v>
      </c>
    </row>
    <row r="33" spans="1:2" s="28" customFormat="1" ht="12" customHeight="1">
      <c r="A33" s="26">
        <v>32</v>
      </c>
      <c r="B33" s="27">
        <v>208</v>
      </c>
    </row>
    <row r="34" spans="1:2" s="28" customFormat="1" ht="12" customHeight="1">
      <c r="A34" s="26">
        <v>33</v>
      </c>
      <c r="B34" s="27">
        <v>216</v>
      </c>
    </row>
    <row r="35" spans="1:2" s="28" customFormat="1" ht="12" customHeight="1">
      <c r="A35" s="26">
        <v>34</v>
      </c>
      <c r="B35" s="27">
        <v>218</v>
      </c>
    </row>
    <row r="36" spans="1:2" s="28" customFormat="1" ht="12" customHeight="1">
      <c r="A36" s="26">
        <v>35</v>
      </c>
      <c r="B36" s="27">
        <v>264</v>
      </c>
    </row>
    <row r="37" spans="1:2" s="28" customFormat="1" ht="12" customHeight="1">
      <c r="A37" s="29">
        <v>36</v>
      </c>
      <c r="B37" s="30">
        <v>304</v>
      </c>
    </row>
    <row r="39" spans="1:2">
      <c r="A39" t="s">
        <v>30</v>
      </c>
      <c r="B39" s="24">
        <f>INDEX(LINEST(B2:B37,A2:A37,TRUE,TRUE),1,1)</f>
        <v>2.5386100386100385</v>
      </c>
    </row>
    <row r="40" spans="1:2">
      <c r="A40" t="s">
        <v>33</v>
      </c>
      <c r="B40" s="24">
        <f>INDEX(LINEST(B2:B37,A2:A37,TRUE,TRUE),2,1)</f>
        <v>0.34018172051263179</v>
      </c>
    </row>
    <row r="41" spans="1:2">
      <c r="A41" t="s">
        <v>31</v>
      </c>
      <c r="B41" s="14">
        <f>INDEX(LINEST(B2:B37,A2:A37,TRUE,TRUE),4,2)</f>
        <v>34</v>
      </c>
    </row>
    <row r="42" spans="1:2">
      <c r="A42" t="s">
        <v>32</v>
      </c>
      <c r="B42" s="2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C7" sqref="C7"/>
    </sheetView>
  </sheetViews>
  <sheetFormatPr baseColWidth="10" defaultRowHeight="15" x14ac:dyDescent="0"/>
  <cols>
    <col min="3" max="3" width="13.33203125" style="2" customWidth="1"/>
    <col min="4" max="4" width="12.1640625" bestFit="1" customWidth="1"/>
  </cols>
  <sheetData>
    <row r="1" spans="1:6" s="1" customFormat="1" ht="60">
      <c r="A1" s="1" t="s">
        <v>2</v>
      </c>
      <c r="C1" s="33"/>
      <c r="D1" s="1" t="s">
        <v>34</v>
      </c>
      <c r="E1" s="1" t="s">
        <v>8</v>
      </c>
      <c r="F1" s="1" t="s">
        <v>9</v>
      </c>
    </row>
    <row r="2" spans="1:6">
      <c r="A2">
        <v>36</v>
      </c>
      <c r="D2">
        <v>0.73208961343795997</v>
      </c>
      <c r="E2" s="2">
        <f>SUM(F6:F41)</f>
        <v>14555.771064023324</v>
      </c>
      <c r="F2">
        <f>SQRT(E2/35)</f>
        <v>20.393115830049346</v>
      </c>
    </row>
    <row r="4" spans="1:6">
      <c r="A4" s="15" t="s">
        <v>1</v>
      </c>
      <c r="B4" s="16" t="s">
        <v>0</v>
      </c>
      <c r="C4" s="2" t="s">
        <v>4</v>
      </c>
      <c r="D4" t="s">
        <v>35</v>
      </c>
      <c r="E4" t="s">
        <v>36</v>
      </c>
      <c r="F4" t="s">
        <v>7</v>
      </c>
    </row>
    <row r="5" spans="1:6">
      <c r="A5" s="31">
        <v>0</v>
      </c>
      <c r="B5" s="32"/>
      <c r="C5" s="2">
        <f>AVERAGE(B6:B17)</f>
        <v>163</v>
      </c>
    </row>
    <row r="6" spans="1:6">
      <c r="A6" s="26">
        <v>1</v>
      </c>
      <c r="B6" s="27">
        <v>165</v>
      </c>
      <c r="C6" s="2">
        <f>C5+$D$2*E6</f>
        <v>164.46417922687593</v>
      </c>
      <c r="D6" s="2">
        <f>C5</f>
        <v>163</v>
      </c>
      <c r="E6" s="2">
        <f>B6-D6</f>
        <v>2</v>
      </c>
      <c r="F6" s="2">
        <f>E6^2</f>
        <v>4</v>
      </c>
    </row>
    <row r="7" spans="1:6">
      <c r="A7" s="26">
        <v>2</v>
      </c>
      <c r="B7" s="27">
        <v>171</v>
      </c>
      <c r="C7" s="2">
        <f t="shared" ref="C7:C41" si="0">C6+$D$2*E7</f>
        <v>169.24898573017211</v>
      </c>
      <c r="D7" s="2">
        <f t="shared" ref="D7:D41" si="1">C6</f>
        <v>164.46417922687593</v>
      </c>
      <c r="E7" s="2">
        <f t="shared" ref="E7:E41" si="2">B7-D7</f>
        <v>6.5358207731240725</v>
      </c>
      <c r="F7" s="2">
        <f t="shared" ref="F7:F41" si="3">E7^2</f>
        <v>42.716953178400146</v>
      </c>
    </row>
    <row r="8" spans="1:6">
      <c r="A8" s="26">
        <v>3</v>
      </c>
      <c r="B8" s="27">
        <v>147</v>
      </c>
      <c r="C8" s="2">
        <f t="shared" si="0"/>
        <v>152.96073436758371</v>
      </c>
      <c r="D8" s="2">
        <f t="shared" si="1"/>
        <v>169.24898573017211</v>
      </c>
      <c r="E8" s="2">
        <f t="shared" si="2"/>
        <v>-22.248985730172109</v>
      </c>
      <c r="F8" s="2">
        <f t="shared" si="3"/>
        <v>495.0173660214021</v>
      </c>
    </row>
    <row r="9" spans="1:6">
      <c r="A9" s="26">
        <v>4</v>
      </c>
      <c r="B9" s="27">
        <v>143</v>
      </c>
      <c r="C9" s="2">
        <f t="shared" si="0"/>
        <v>145.66858419486115</v>
      </c>
      <c r="D9" s="2">
        <f t="shared" si="1"/>
        <v>152.96073436758371</v>
      </c>
      <c r="E9" s="2">
        <f t="shared" si="2"/>
        <v>-9.9607343675837114</v>
      </c>
      <c r="F9" s="2">
        <f t="shared" si="3"/>
        <v>99.216229141563275</v>
      </c>
    </row>
    <row r="10" spans="1:6">
      <c r="A10" s="26">
        <v>5</v>
      </c>
      <c r="B10" s="27">
        <v>164</v>
      </c>
      <c r="C10" s="2">
        <f t="shared" si="0"/>
        <v>159.08882330541576</v>
      </c>
      <c r="D10" s="2">
        <f t="shared" si="1"/>
        <v>145.66858419486115</v>
      </c>
      <c r="E10" s="2">
        <f t="shared" si="2"/>
        <v>18.331415805138846</v>
      </c>
      <c r="F10" s="2">
        <f t="shared" si="3"/>
        <v>336.04080542089429</v>
      </c>
    </row>
    <row r="11" spans="1:6">
      <c r="A11" s="26">
        <v>6</v>
      </c>
      <c r="B11" s="27">
        <v>160</v>
      </c>
      <c r="C11" s="2">
        <f t="shared" si="0"/>
        <v>159.75588629952762</v>
      </c>
      <c r="D11" s="2">
        <f t="shared" si="1"/>
        <v>159.08882330541576</v>
      </c>
      <c r="E11" s="2">
        <f t="shared" si="2"/>
        <v>0.91117669458424189</v>
      </c>
      <c r="F11" s="2">
        <f t="shared" si="3"/>
        <v>0.83024296875346482</v>
      </c>
    </row>
    <row r="12" spans="1:6">
      <c r="A12" s="26">
        <v>7</v>
      </c>
      <c r="B12" s="27">
        <v>152</v>
      </c>
      <c r="C12" s="2">
        <f t="shared" si="0"/>
        <v>154.07788249663767</v>
      </c>
      <c r="D12" s="2">
        <f t="shared" si="1"/>
        <v>159.75588629952762</v>
      </c>
      <c r="E12" s="2">
        <f t="shared" si="2"/>
        <v>-7.7558862995276172</v>
      </c>
      <c r="F12" s="2">
        <f t="shared" si="3"/>
        <v>60.153772291200198</v>
      </c>
    </row>
    <row r="13" spans="1:6">
      <c r="A13" s="26">
        <v>8</v>
      </c>
      <c r="B13" s="27">
        <v>150</v>
      </c>
      <c r="C13" s="2">
        <f t="shared" si="0"/>
        <v>151.09250707602877</v>
      </c>
      <c r="D13" s="2">
        <f t="shared" si="1"/>
        <v>154.07788249663767</v>
      </c>
      <c r="E13" s="2">
        <f t="shared" si="2"/>
        <v>-4.0778824966376703</v>
      </c>
      <c r="F13" s="2">
        <f t="shared" si="3"/>
        <v>16.629125656383881</v>
      </c>
    </row>
    <row r="14" spans="1:6">
      <c r="A14" s="26">
        <v>9</v>
      </c>
      <c r="B14" s="27">
        <v>159</v>
      </c>
      <c r="C14" s="2">
        <f t="shared" si="0"/>
        <v>156.88150051400228</v>
      </c>
      <c r="D14" s="2">
        <f t="shared" si="1"/>
        <v>151.09250707602877</v>
      </c>
      <c r="E14" s="2">
        <f t="shared" si="2"/>
        <v>7.9074929239712333</v>
      </c>
      <c r="F14" s="2">
        <f t="shared" si="3"/>
        <v>62.528444342655128</v>
      </c>
    </row>
    <row r="15" spans="1:6">
      <c r="A15" s="26">
        <v>10</v>
      </c>
      <c r="B15" s="27">
        <v>169</v>
      </c>
      <c r="C15" s="2">
        <f t="shared" si="0"/>
        <v>165.75332811815446</v>
      </c>
      <c r="D15" s="2">
        <f t="shared" si="1"/>
        <v>156.88150051400228</v>
      </c>
      <c r="E15" s="2">
        <f t="shared" si="2"/>
        <v>12.118499485997717</v>
      </c>
      <c r="F15" s="2">
        <f t="shared" si="3"/>
        <v>146.85802979212693</v>
      </c>
    </row>
    <row r="16" spans="1:6">
      <c r="A16" s="26">
        <v>11</v>
      </c>
      <c r="B16" s="27">
        <v>173</v>
      </c>
      <c r="C16" s="2">
        <f t="shared" si="0"/>
        <v>171.0585413348465</v>
      </c>
      <c r="D16" s="2">
        <f t="shared" si="1"/>
        <v>165.75332811815446</v>
      </c>
      <c r="E16" s="2">
        <f t="shared" si="2"/>
        <v>7.2466718818455433</v>
      </c>
      <c r="F16" s="2">
        <f t="shared" si="3"/>
        <v>52.514253363130827</v>
      </c>
    </row>
    <row r="17" spans="1:6">
      <c r="A17" s="26">
        <v>12</v>
      </c>
      <c r="B17" s="27">
        <v>203</v>
      </c>
      <c r="C17" s="2">
        <f t="shared" si="0"/>
        <v>194.4425514616633</v>
      </c>
      <c r="D17" s="2">
        <f t="shared" si="1"/>
        <v>171.0585413348465</v>
      </c>
      <c r="E17" s="2">
        <f t="shared" si="2"/>
        <v>31.941458665153505</v>
      </c>
      <c r="F17" s="2">
        <f t="shared" si="3"/>
        <v>1020.2567816577099</v>
      </c>
    </row>
    <row r="18" spans="1:6">
      <c r="A18" s="26">
        <v>13</v>
      </c>
      <c r="B18" s="27">
        <v>169</v>
      </c>
      <c r="C18" s="2">
        <f t="shared" si="0"/>
        <v>175.81632379721881</v>
      </c>
      <c r="D18" s="2">
        <f t="shared" si="1"/>
        <v>194.4425514616633</v>
      </c>
      <c r="E18" s="2">
        <f t="shared" si="2"/>
        <v>-25.4425514616633</v>
      </c>
      <c r="F18" s="2">
        <f t="shared" si="3"/>
        <v>647.32342487938524</v>
      </c>
    </row>
    <row r="19" spans="1:6">
      <c r="A19" s="26">
        <v>14</v>
      </c>
      <c r="B19" s="27">
        <v>166</v>
      </c>
      <c r="C19" s="2">
        <f t="shared" si="0"/>
        <v>168.62989510313105</v>
      </c>
      <c r="D19" s="2">
        <f t="shared" si="1"/>
        <v>175.81632379721881</v>
      </c>
      <c r="E19" s="2">
        <f t="shared" si="2"/>
        <v>-9.8163237972188142</v>
      </c>
      <c r="F19" s="2">
        <f t="shared" si="3"/>
        <v>96.360212891844398</v>
      </c>
    </row>
    <row r="20" spans="1:6">
      <c r="A20" s="26">
        <v>15</v>
      </c>
      <c r="B20" s="27">
        <v>162</v>
      </c>
      <c r="C20" s="2">
        <f t="shared" si="0"/>
        <v>163.77621775994561</v>
      </c>
      <c r="D20" s="2">
        <f t="shared" si="1"/>
        <v>168.62989510313105</v>
      </c>
      <c r="E20" s="2">
        <f t="shared" si="2"/>
        <v>-6.629895103131048</v>
      </c>
      <c r="F20" s="2">
        <f t="shared" si="3"/>
        <v>43.955509078521047</v>
      </c>
    </row>
    <row r="21" spans="1:6">
      <c r="A21" s="26">
        <v>16</v>
      </c>
      <c r="B21" s="27">
        <v>147</v>
      </c>
      <c r="C21" s="2">
        <f t="shared" si="0"/>
        <v>151.49452298511599</v>
      </c>
      <c r="D21" s="2">
        <f t="shared" si="1"/>
        <v>163.77621775994561</v>
      </c>
      <c r="E21" s="2">
        <f t="shared" si="2"/>
        <v>-16.776217759945609</v>
      </c>
      <c r="F21" s="2">
        <f t="shared" si="3"/>
        <v>281.44148232911448</v>
      </c>
    </row>
    <row r="22" spans="1:6">
      <c r="A22" s="26">
        <v>17</v>
      </c>
      <c r="B22" s="27">
        <v>188</v>
      </c>
      <c r="C22" s="2">
        <f t="shared" si="0"/>
        <v>178.21980354131077</v>
      </c>
      <c r="D22" s="2">
        <f t="shared" si="1"/>
        <v>151.49452298511599</v>
      </c>
      <c r="E22" s="2">
        <f t="shared" si="2"/>
        <v>36.505477014884008</v>
      </c>
      <c r="F22" s="2">
        <f t="shared" si="3"/>
        <v>1332.6498520842247</v>
      </c>
    </row>
    <row r="23" spans="1:6">
      <c r="A23" s="26">
        <v>18</v>
      </c>
      <c r="B23" s="27">
        <v>161</v>
      </c>
      <c r="C23" s="2">
        <f t="shared" si="0"/>
        <v>165.61336422327494</v>
      </c>
      <c r="D23" s="2">
        <f t="shared" si="1"/>
        <v>178.21980354131077</v>
      </c>
      <c r="E23" s="2">
        <f t="shared" si="2"/>
        <v>-17.219803541310768</v>
      </c>
      <c r="F23" s="2">
        <f t="shared" si="3"/>
        <v>296.52163400133884</v>
      </c>
    </row>
    <row r="24" spans="1:6">
      <c r="A24" s="26">
        <v>19</v>
      </c>
      <c r="B24" s="27">
        <v>162</v>
      </c>
      <c r="C24" s="2">
        <f t="shared" si="0"/>
        <v>162.96805780584702</v>
      </c>
      <c r="D24" s="2">
        <f t="shared" si="1"/>
        <v>165.61336422327494</v>
      </c>
      <c r="E24" s="2">
        <f t="shared" si="2"/>
        <v>-3.6133642232749423</v>
      </c>
      <c r="F24" s="2">
        <f t="shared" si="3"/>
        <v>13.056401010043327</v>
      </c>
    </row>
    <row r="25" spans="1:6">
      <c r="A25" s="26">
        <v>20</v>
      </c>
      <c r="B25" s="27">
        <v>169</v>
      </c>
      <c r="C25" s="2">
        <f t="shared" si="0"/>
        <v>167.3839800350446</v>
      </c>
      <c r="D25" s="2">
        <f t="shared" si="1"/>
        <v>162.96805780584702</v>
      </c>
      <c r="E25" s="2">
        <f t="shared" si="2"/>
        <v>6.0319421941529754</v>
      </c>
      <c r="F25" s="2">
        <f t="shared" si="3"/>
        <v>36.38432663360301</v>
      </c>
    </row>
    <row r="26" spans="1:6">
      <c r="A26" s="26">
        <v>21</v>
      </c>
      <c r="B26" s="27">
        <v>185</v>
      </c>
      <c r="C26" s="2">
        <f t="shared" si="0"/>
        <v>180.28048528150418</v>
      </c>
      <c r="D26" s="2">
        <f t="shared" si="1"/>
        <v>167.3839800350446</v>
      </c>
      <c r="E26" s="2">
        <f t="shared" si="2"/>
        <v>17.616019964955399</v>
      </c>
      <c r="F26" s="2">
        <f t="shared" si="3"/>
        <v>310.32415940570723</v>
      </c>
    </row>
    <row r="27" spans="1:6">
      <c r="A27" s="26">
        <v>22</v>
      </c>
      <c r="B27" s="27">
        <v>188</v>
      </c>
      <c r="C27" s="2">
        <f t="shared" si="0"/>
        <v>185.93186182769642</v>
      </c>
      <c r="D27" s="2">
        <f t="shared" si="1"/>
        <v>180.28048528150418</v>
      </c>
      <c r="E27" s="2">
        <f t="shared" si="2"/>
        <v>7.7195147184958159</v>
      </c>
      <c r="F27" s="2">
        <f t="shared" si="3"/>
        <v>59.590907489073537</v>
      </c>
    </row>
    <row r="28" spans="1:6">
      <c r="A28" s="26">
        <v>23</v>
      </c>
      <c r="B28" s="27">
        <v>200</v>
      </c>
      <c r="C28" s="2">
        <f t="shared" si="0"/>
        <v>196.23099966404996</v>
      </c>
      <c r="D28" s="2">
        <f t="shared" si="1"/>
        <v>185.93186182769642</v>
      </c>
      <c r="E28" s="2">
        <f t="shared" si="2"/>
        <v>14.068138172303577</v>
      </c>
      <c r="F28" s="2">
        <f t="shared" si="3"/>
        <v>197.91251163502503</v>
      </c>
    </row>
    <row r="29" spans="1:6">
      <c r="A29" s="26">
        <v>24</v>
      </c>
      <c r="B29" s="27">
        <v>229</v>
      </c>
      <c r="C29" s="2">
        <f t="shared" si="0"/>
        <v>220.22084445274402</v>
      </c>
      <c r="D29" s="2">
        <f t="shared" si="1"/>
        <v>196.23099966404996</v>
      </c>
      <c r="E29" s="2">
        <f t="shared" si="2"/>
        <v>32.769000335950039</v>
      </c>
      <c r="F29" s="2">
        <f t="shared" si="3"/>
        <v>1073.8073830174937</v>
      </c>
    </row>
    <row r="30" spans="1:6">
      <c r="A30" s="26">
        <v>25</v>
      </c>
      <c r="B30" s="27">
        <v>189</v>
      </c>
      <c r="C30" s="2">
        <f t="shared" si="0"/>
        <v>197.36438850612797</v>
      </c>
      <c r="D30" s="2">
        <f t="shared" si="1"/>
        <v>220.22084445274402</v>
      </c>
      <c r="E30" s="2">
        <f t="shared" si="2"/>
        <v>-31.220844452744018</v>
      </c>
      <c r="F30" s="2">
        <f t="shared" si="3"/>
        <v>974.74112834243692</v>
      </c>
    </row>
    <row r="31" spans="1:6">
      <c r="A31" s="26">
        <v>26</v>
      </c>
      <c r="B31" s="27">
        <v>218</v>
      </c>
      <c r="C31" s="2">
        <f t="shared" si="0"/>
        <v>212.47150534773266</v>
      </c>
      <c r="D31" s="2">
        <f t="shared" si="1"/>
        <v>197.36438850612797</v>
      </c>
      <c r="E31" s="2">
        <f t="shared" si="2"/>
        <v>20.635611493872034</v>
      </c>
      <c r="F31" s="2">
        <f t="shared" si="3"/>
        <v>425.82846172602359</v>
      </c>
    </row>
    <row r="32" spans="1:6">
      <c r="A32" s="26">
        <v>27</v>
      </c>
      <c r="B32" s="27">
        <v>185</v>
      </c>
      <c r="C32" s="2">
        <f t="shared" si="0"/>
        <v>192.35990161715222</v>
      </c>
      <c r="D32" s="2">
        <f t="shared" si="1"/>
        <v>212.47150534773266</v>
      </c>
      <c r="E32" s="2">
        <f t="shared" si="2"/>
        <v>-27.471505347732659</v>
      </c>
      <c r="F32" s="2">
        <f t="shared" si="3"/>
        <v>754.68360607050408</v>
      </c>
    </row>
    <row r="33" spans="1:6">
      <c r="A33" s="26">
        <v>28</v>
      </c>
      <c r="B33" s="27">
        <v>199</v>
      </c>
      <c r="C33" s="2">
        <f t="shared" si="0"/>
        <v>197.22104867544127</v>
      </c>
      <c r="D33" s="2">
        <f t="shared" si="1"/>
        <v>192.35990161715222</v>
      </c>
      <c r="E33" s="2">
        <f t="shared" si="2"/>
        <v>6.640098382847782</v>
      </c>
      <c r="F33" s="2">
        <f t="shared" si="3"/>
        <v>44.09090653389773</v>
      </c>
    </row>
    <row r="34" spans="1:6">
      <c r="A34" s="26">
        <v>29</v>
      </c>
      <c r="B34" s="27">
        <v>210</v>
      </c>
      <c r="C34" s="2">
        <f t="shared" si="0"/>
        <v>206.57638621077999</v>
      </c>
      <c r="D34" s="2">
        <f t="shared" si="1"/>
        <v>197.22104867544127</v>
      </c>
      <c r="E34" s="2">
        <f t="shared" si="2"/>
        <v>12.778951324558733</v>
      </c>
      <c r="F34" s="2">
        <f t="shared" si="3"/>
        <v>163.3015969554414</v>
      </c>
    </row>
    <row r="35" spans="1:6">
      <c r="A35" s="26">
        <v>30</v>
      </c>
      <c r="B35" s="27">
        <v>193</v>
      </c>
      <c r="C35" s="2">
        <f t="shared" si="0"/>
        <v>196.63725487784561</v>
      </c>
      <c r="D35" s="2">
        <f t="shared" si="1"/>
        <v>206.57638621077999</v>
      </c>
      <c r="E35" s="2">
        <f t="shared" si="2"/>
        <v>-13.576386210779987</v>
      </c>
      <c r="F35" s="2">
        <f t="shared" si="3"/>
        <v>184.31826254425695</v>
      </c>
    </row>
    <row r="36" spans="1:6">
      <c r="A36" s="26">
        <v>31</v>
      </c>
      <c r="B36" s="27">
        <v>211</v>
      </c>
      <c r="C36" s="2">
        <f t="shared" si="0"/>
        <v>207.15207140223157</v>
      </c>
      <c r="D36" s="2">
        <f t="shared" si="1"/>
        <v>196.63725487784561</v>
      </c>
      <c r="E36" s="2">
        <f t="shared" si="2"/>
        <v>14.362745122154394</v>
      </c>
      <c r="F36" s="2">
        <f t="shared" si="3"/>
        <v>206.28844744396983</v>
      </c>
    </row>
    <row r="37" spans="1:6">
      <c r="A37" s="26">
        <v>32</v>
      </c>
      <c r="B37" s="27">
        <v>208</v>
      </c>
      <c r="C37" s="2">
        <f t="shared" si="0"/>
        <v>207.77283112159486</v>
      </c>
      <c r="D37" s="2">
        <f t="shared" si="1"/>
        <v>207.15207140223157</v>
      </c>
      <c r="E37" s="2">
        <f t="shared" si="2"/>
        <v>0.84792859776842988</v>
      </c>
      <c r="F37" s="2">
        <f t="shared" si="3"/>
        <v>0.71898290691353572</v>
      </c>
    </row>
    <row r="38" spans="1:6">
      <c r="A38" s="26">
        <v>33</v>
      </c>
      <c r="B38" s="27">
        <v>216</v>
      </c>
      <c r="C38" s="2">
        <f t="shared" si="0"/>
        <v>213.79585600547529</v>
      </c>
      <c r="D38" s="2">
        <f t="shared" si="1"/>
        <v>207.77283112159486</v>
      </c>
      <c r="E38" s="2">
        <f t="shared" si="2"/>
        <v>8.2271688784051378</v>
      </c>
      <c r="F38" s="2">
        <f t="shared" si="3"/>
        <v>67.686307753798047</v>
      </c>
    </row>
    <row r="39" spans="1:6">
      <c r="A39" s="26">
        <v>34</v>
      </c>
      <c r="B39" s="27">
        <v>218</v>
      </c>
      <c r="C39" s="2">
        <f t="shared" si="0"/>
        <v>216.87366615726441</v>
      </c>
      <c r="D39" s="2">
        <f t="shared" si="1"/>
        <v>213.79585600547529</v>
      </c>
      <c r="E39" s="2">
        <f t="shared" si="2"/>
        <v>4.2041439945247134</v>
      </c>
      <c r="F39" s="2">
        <f t="shared" si="3"/>
        <v>17.674826726698214</v>
      </c>
    </row>
    <row r="40" spans="1:6">
      <c r="A40" s="26">
        <v>35</v>
      </c>
      <c r="B40" s="27">
        <v>264</v>
      </c>
      <c r="C40" s="2">
        <f t="shared" si="0"/>
        <v>251.37436568294095</v>
      </c>
      <c r="D40" s="2">
        <f t="shared" si="1"/>
        <v>216.87366615726441</v>
      </c>
      <c r="E40" s="2">
        <f t="shared" si="2"/>
        <v>47.12633384273559</v>
      </c>
      <c r="F40" s="2">
        <f t="shared" si="3"/>
        <v>2220.8913414569656</v>
      </c>
    </row>
    <row r="41" spans="1:6">
      <c r="A41" s="29">
        <v>36</v>
      </c>
      <c r="B41" s="30">
        <v>304</v>
      </c>
      <c r="C41" s="2">
        <f t="shared" si="0"/>
        <v>289.90104596704413</v>
      </c>
      <c r="D41" s="2">
        <f t="shared" si="1"/>
        <v>251.37436568294095</v>
      </c>
      <c r="E41" s="2">
        <f t="shared" si="2"/>
        <v>52.625634317059053</v>
      </c>
      <c r="F41" s="2">
        <f t="shared" si="3"/>
        <v>2769.4573872728233</v>
      </c>
    </row>
    <row r="42" spans="1:6">
      <c r="A42" s="26">
        <v>37</v>
      </c>
      <c r="B42" s="2">
        <f>$C$41</f>
        <v>289.90104596704413</v>
      </c>
    </row>
    <row r="43" spans="1:6">
      <c r="A43" s="26">
        <v>38</v>
      </c>
      <c r="B43" s="2">
        <f t="shared" ref="B43:B53" si="4">$C$41</f>
        <v>289.90104596704413</v>
      </c>
    </row>
    <row r="44" spans="1:6">
      <c r="A44" s="29">
        <v>39</v>
      </c>
      <c r="B44" s="2">
        <f t="shared" si="4"/>
        <v>289.90104596704413</v>
      </c>
    </row>
    <row r="45" spans="1:6">
      <c r="A45" s="26">
        <v>40</v>
      </c>
      <c r="B45" s="2">
        <f t="shared" si="4"/>
        <v>289.90104596704413</v>
      </c>
    </row>
    <row r="46" spans="1:6">
      <c r="A46" s="26">
        <v>41</v>
      </c>
      <c r="B46" s="2">
        <f t="shared" si="4"/>
        <v>289.90104596704413</v>
      </c>
    </row>
    <row r="47" spans="1:6">
      <c r="A47" s="29">
        <v>42</v>
      </c>
      <c r="B47" s="2">
        <f t="shared" si="4"/>
        <v>289.90104596704413</v>
      </c>
    </row>
    <row r="48" spans="1:6">
      <c r="A48" s="26">
        <v>43</v>
      </c>
      <c r="B48" s="2">
        <f t="shared" si="4"/>
        <v>289.90104596704413</v>
      </c>
    </row>
    <row r="49" spans="1:4">
      <c r="A49" s="26">
        <v>44</v>
      </c>
      <c r="B49" s="2">
        <f t="shared" si="4"/>
        <v>289.90104596704413</v>
      </c>
    </row>
    <row r="50" spans="1:4">
      <c r="A50" s="29">
        <v>45</v>
      </c>
      <c r="B50" s="2">
        <f t="shared" si="4"/>
        <v>289.90104596704413</v>
      </c>
    </row>
    <row r="51" spans="1:4">
      <c r="A51" s="26">
        <v>46</v>
      </c>
      <c r="B51" s="2">
        <f t="shared" si="4"/>
        <v>289.90104596704413</v>
      </c>
    </row>
    <row r="52" spans="1:4">
      <c r="A52" s="26">
        <v>47</v>
      </c>
      <c r="B52" s="2">
        <f t="shared" si="4"/>
        <v>289.90104596704413</v>
      </c>
    </row>
    <row r="53" spans="1:4">
      <c r="A53" s="29">
        <v>48</v>
      </c>
      <c r="B53" s="2">
        <f t="shared" si="4"/>
        <v>289.90104596704413</v>
      </c>
    </row>
    <row r="56" spans="1:4">
      <c r="A56" t="s">
        <v>30</v>
      </c>
      <c r="B56">
        <f>LINEST(B$6:B$41,A$6:A$41,TRUE,TRUE)</f>
        <v>2.5386100386100385</v>
      </c>
      <c r="C56" s="2" t="s">
        <v>39</v>
      </c>
      <c r="D56">
        <f>TDIST(ABS(B56/B57),B58,2)</f>
        <v>1.1694156537818746E-8</v>
      </c>
    </row>
    <row r="57" spans="1:4">
      <c r="A57" t="s">
        <v>37</v>
      </c>
      <c r="B57">
        <f>INDEX(LINEST(B$6:B$41,A$6:A$41,TRUE,TRUE),2,1)</f>
        <v>0.34018172051263179</v>
      </c>
    </row>
    <row r="58" spans="1:4">
      <c r="A58" t="s">
        <v>38</v>
      </c>
      <c r="B58">
        <f>INDEX(LINEST(B$6:B$41,A$6:A$41,TRUE,TRUE),4,2)</f>
        <v>34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53"/>
  <sheetViews>
    <sheetView workbookViewId="0">
      <pane ySplit="4" topLeftCell="A31" activePane="bottomLeft" state="frozen"/>
      <selection activeCell="O15" sqref="O15"/>
      <selection pane="bottomLeft" activeCell="B42" sqref="B42"/>
    </sheetView>
  </sheetViews>
  <sheetFormatPr baseColWidth="10" defaultColWidth="11" defaultRowHeight="15" x14ac:dyDescent="0"/>
  <cols>
    <col min="1" max="1" width="12.1640625" bestFit="1" customWidth="1"/>
    <col min="2" max="2" width="10.6640625" customWidth="1"/>
    <col min="3" max="3" width="16.6640625" customWidth="1"/>
    <col min="6" max="6" width="10.83203125" customWidth="1"/>
  </cols>
  <sheetData>
    <row r="1" spans="1:6" s="1" customFormat="1" ht="31.5">
      <c r="A1" s="1" t="s">
        <v>2</v>
      </c>
      <c r="C1" s="1" t="s">
        <v>15</v>
      </c>
      <c r="E1" s="19" t="s">
        <v>8</v>
      </c>
      <c r="F1" s="19" t="s">
        <v>9</v>
      </c>
    </row>
    <row r="2" spans="1:6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31.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>
      <c r="A5" s="3">
        <v>0</v>
      </c>
      <c r="B5" s="3"/>
      <c r="C5" s="3">
        <f>AVERAGE(B6:B17)</f>
        <v>163</v>
      </c>
      <c r="D5" s="3"/>
      <c r="E5" s="3"/>
      <c r="F5" s="3"/>
    </row>
    <row r="6" spans="1:6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"/>
  <sheetViews>
    <sheetView workbookViewId="0">
      <selection activeCell="A4" sqref="A4:B41"/>
    </sheetView>
  </sheetViews>
  <sheetFormatPr baseColWidth="10" defaultRowHeight="15" x14ac:dyDescent="0"/>
  <cols>
    <col min="3" max="3" width="14.5" customWidth="1"/>
  </cols>
  <sheetData>
    <row r="1" spans="1:7">
      <c r="C1" t="s">
        <v>40</v>
      </c>
      <c r="D1" t="s">
        <v>41</v>
      </c>
      <c r="F1" t="s">
        <v>8</v>
      </c>
      <c r="G1">
        <f>SUM(G6:G41)</f>
        <v>14097.280825538133</v>
      </c>
    </row>
    <row r="2" spans="1:7">
      <c r="C2">
        <v>0.65909979889788639</v>
      </c>
      <c r="D2">
        <v>5.311726112979083E-2</v>
      </c>
      <c r="F2" t="s">
        <v>42</v>
      </c>
      <c r="G2">
        <f>SQRT(G1/(36-2))</f>
        <v>20.362364956789143</v>
      </c>
    </row>
    <row r="4" spans="1:7">
      <c r="A4" s="15" t="s">
        <v>1</v>
      </c>
      <c r="B4" s="16" t="s">
        <v>0</v>
      </c>
      <c r="C4" t="s">
        <v>4</v>
      </c>
      <c r="D4" t="s">
        <v>28</v>
      </c>
      <c r="E4" t="s">
        <v>35</v>
      </c>
      <c r="F4" t="s">
        <v>36</v>
      </c>
      <c r="G4" t="s">
        <v>7</v>
      </c>
    </row>
    <row r="5" spans="1:7">
      <c r="A5" s="31">
        <v>0</v>
      </c>
      <c r="B5" s="32"/>
      <c r="C5">
        <v>155.88</v>
      </c>
      <c r="D5">
        <v>0.83689999999999998</v>
      </c>
      <c r="F5">
        <v>0</v>
      </c>
    </row>
    <row r="6" spans="1:7">
      <c r="A6" s="26">
        <v>1</v>
      </c>
      <c r="B6" s="27">
        <v>165</v>
      </c>
      <c r="C6">
        <f>C5+D5+$C$2*F6</f>
        <v>162.17628954425109</v>
      </c>
      <c r="D6">
        <f>D5+$D$2*$C$2*(F6)</f>
        <v>1.1268878200312342</v>
      </c>
      <c r="E6">
        <f>C5+D5</f>
        <v>156.71690000000001</v>
      </c>
      <c r="F6">
        <f>B6-E6</f>
        <v>8.2830999999999904</v>
      </c>
      <c r="G6">
        <f>F6^2</f>
        <v>68.609745609999834</v>
      </c>
    </row>
    <row r="7" spans="1:7">
      <c r="A7" s="26">
        <v>2</v>
      </c>
      <c r="B7" s="27">
        <v>171</v>
      </c>
      <c r="C7">
        <f t="shared" ref="C7:C41" si="0">C6+D6+$C$2*F7</f>
        <v>168.37615161563656</v>
      </c>
      <c r="D7">
        <f t="shared" ref="D7:D41" si="1">D6+$D$2*$C$2*(F7)</f>
        <v>1.3963503180451211</v>
      </c>
      <c r="E7">
        <f t="shared" ref="E7:E41" si="2">C6+D6</f>
        <v>163.30317736428233</v>
      </c>
      <c r="F7">
        <f t="shared" ref="F7:F41" si="3">B7-E7</f>
        <v>7.6968226357176661</v>
      </c>
      <c r="G7">
        <f t="shared" ref="G7:G41" si="4">F7^2</f>
        <v>59.24107868569584</v>
      </c>
    </row>
    <row r="8" spans="1:7">
      <c r="A8" s="26">
        <v>3</v>
      </c>
      <c r="B8" s="27">
        <v>147</v>
      </c>
      <c r="C8">
        <f t="shared" si="0"/>
        <v>154.76315048879036</v>
      </c>
      <c r="D8">
        <f t="shared" si="1"/>
        <v>0.59909467795802585</v>
      </c>
      <c r="E8">
        <f t="shared" si="2"/>
        <v>169.77250193368167</v>
      </c>
      <c r="F8">
        <f t="shared" si="3"/>
        <v>-22.772501933681667</v>
      </c>
      <c r="G8">
        <f t="shared" si="4"/>
        <v>518.58684431953532</v>
      </c>
    </row>
    <row r="9" spans="1:7">
      <c r="A9" s="26">
        <v>4</v>
      </c>
      <c r="B9" s="27">
        <v>143</v>
      </c>
      <c r="C9">
        <f t="shared" si="0"/>
        <v>147.21429186341817</v>
      </c>
      <c r="D9">
        <f t="shared" si="1"/>
        <v>0.16629771467169246</v>
      </c>
      <c r="E9">
        <f t="shared" si="2"/>
        <v>155.36224516674838</v>
      </c>
      <c r="F9">
        <f t="shared" si="3"/>
        <v>-12.36224516674838</v>
      </c>
      <c r="G9">
        <f t="shared" si="4"/>
        <v>152.82510556279368</v>
      </c>
    </row>
    <row r="10" spans="1:7">
      <c r="A10" s="26">
        <v>5</v>
      </c>
      <c r="B10" s="27">
        <v>164</v>
      </c>
      <c r="C10">
        <f t="shared" si="0"/>
        <v>158.33443964497226</v>
      </c>
      <c r="D10">
        <f t="shared" si="1"/>
        <v>0.74813622905086241</v>
      </c>
      <c r="E10">
        <f t="shared" si="2"/>
        <v>147.38058957808985</v>
      </c>
      <c r="F10">
        <f t="shared" si="3"/>
        <v>16.619410421910146</v>
      </c>
      <c r="G10">
        <f t="shared" si="4"/>
        <v>276.20480277189557</v>
      </c>
    </row>
    <row r="11" spans="1:7">
      <c r="A11" s="26">
        <v>6</v>
      </c>
      <c r="B11" s="27">
        <v>160</v>
      </c>
      <c r="C11">
        <f t="shared" si="0"/>
        <v>159.68724993095856</v>
      </c>
      <c r="D11">
        <f t="shared" si="1"/>
        <v>0.78025485883151169</v>
      </c>
      <c r="E11">
        <f t="shared" si="2"/>
        <v>159.08257587402312</v>
      </c>
      <c r="F11">
        <f t="shared" si="3"/>
        <v>0.91742412597687917</v>
      </c>
      <c r="G11">
        <f t="shared" si="4"/>
        <v>0.84166702692444062</v>
      </c>
    </row>
    <row r="12" spans="1:7">
      <c r="A12" s="26">
        <v>7</v>
      </c>
      <c r="B12" s="27">
        <v>152</v>
      </c>
      <c r="C12">
        <f t="shared" si="0"/>
        <v>154.88657408567255</v>
      </c>
      <c r="D12">
        <f t="shared" si="1"/>
        <v>0.48381110527363375</v>
      </c>
      <c r="E12">
        <f t="shared" si="2"/>
        <v>160.46750478979007</v>
      </c>
      <c r="F12">
        <f t="shared" si="3"/>
        <v>-8.4675047897900697</v>
      </c>
      <c r="G12">
        <f t="shared" si="4"/>
        <v>71.698637365117776</v>
      </c>
    </row>
    <row r="13" spans="1:7">
      <c r="A13" s="26">
        <v>8</v>
      </c>
      <c r="B13" s="27">
        <v>150</v>
      </c>
      <c r="C13">
        <f t="shared" si="0"/>
        <v>151.83076539158938</v>
      </c>
      <c r="D13">
        <f t="shared" si="1"/>
        <v>0.29579619609101948</v>
      </c>
      <c r="E13">
        <f t="shared" si="2"/>
        <v>155.37038519094619</v>
      </c>
      <c r="F13">
        <f t="shared" si="3"/>
        <v>-5.3703851909461946</v>
      </c>
      <c r="G13">
        <f t="shared" si="4"/>
        <v>28.841037099134194</v>
      </c>
    </row>
    <row r="14" spans="1:7">
      <c r="A14" s="26">
        <v>9</v>
      </c>
      <c r="B14" s="27">
        <v>159</v>
      </c>
      <c r="C14">
        <f t="shared" si="0"/>
        <v>156.65684346297726</v>
      </c>
      <c r="D14">
        <f t="shared" si="1"/>
        <v>0.53643236145272066</v>
      </c>
      <c r="E14">
        <f t="shared" si="2"/>
        <v>152.12656158768041</v>
      </c>
      <c r="F14">
        <f t="shared" si="3"/>
        <v>6.8734384123195866</v>
      </c>
      <c r="G14">
        <f t="shared" si="4"/>
        <v>47.244155607950397</v>
      </c>
    </row>
    <row r="15" spans="1:7">
      <c r="A15" s="26">
        <v>10</v>
      </c>
      <c r="B15" s="27">
        <v>169</v>
      </c>
      <c r="C15">
        <f t="shared" si="0"/>
        <v>164.97508535419098</v>
      </c>
      <c r="D15">
        <f t="shared" si="1"/>
        <v>0.94978077030733132</v>
      </c>
      <c r="E15">
        <f t="shared" si="2"/>
        <v>157.19327582442997</v>
      </c>
      <c r="F15">
        <f t="shared" si="3"/>
        <v>11.806724175570025</v>
      </c>
      <c r="G15">
        <f t="shared" si="4"/>
        <v>139.3987357579897</v>
      </c>
    </row>
    <row r="16" spans="1:7">
      <c r="A16" s="26">
        <v>11</v>
      </c>
      <c r="B16" s="27">
        <v>173</v>
      </c>
      <c r="C16">
        <f t="shared" si="0"/>
        <v>170.58808543901711</v>
      </c>
      <c r="D16">
        <f t="shared" si="1"/>
        <v>1.1974782083421096</v>
      </c>
      <c r="E16">
        <f t="shared" si="2"/>
        <v>165.92486612449832</v>
      </c>
      <c r="F16">
        <f t="shared" si="3"/>
        <v>7.0751338755016775</v>
      </c>
      <c r="G16">
        <f t="shared" si="4"/>
        <v>50.057519356271385</v>
      </c>
    </row>
    <row r="17" spans="1:7">
      <c r="A17" s="26">
        <v>12</v>
      </c>
      <c r="B17" s="27">
        <v>203</v>
      </c>
      <c r="C17">
        <f t="shared" si="0"/>
        <v>192.35899237009562</v>
      </c>
      <c r="D17">
        <f t="shared" si="1"/>
        <v>2.2902823941428387</v>
      </c>
      <c r="E17">
        <f t="shared" si="2"/>
        <v>171.78556364735923</v>
      </c>
      <c r="F17">
        <f t="shared" si="3"/>
        <v>31.214436352640774</v>
      </c>
      <c r="G17">
        <f t="shared" si="4"/>
        <v>974.34103681306192</v>
      </c>
    </row>
    <row r="18" spans="1:7">
      <c r="A18" s="26">
        <v>13</v>
      </c>
      <c r="B18" s="27">
        <v>169</v>
      </c>
      <c r="C18">
        <f t="shared" si="0"/>
        <v>177.74384292525227</v>
      </c>
      <c r="D18">
        <f t="shared" si="1"/>
        <v>1.3923121566395285</v>
      </c>
      <c r="E18">
        <f t="shared" si="2"/>
        <v>194.64927476423847</v>
      </c>
      <c r="F18">
        <f t="shared" si="3"/>
        <v>-25.64927476423847</v>
      </c>
      <c r="G18">
        <f t="shared" si="4"/>
        <v>657.88529593140038</v>
      </c>
    </row>
    <row r="19" spans="1:7">
      <c r="A19" s="26">
        <v>14</v>
      </c>
      <c r="B19" s="27">
        <v>166</v>
      </c>
      <c r="C19">
        <f t="shared" si="0"/>
        <v>170.47811790912547</v>
      </c>
      <c r="D19">
        <f t="shared" si="1"/>
        <v>0.93242093526226366</v>
      </c>
      <c r="E19">
        <f t="shared" si="2"/>
        <v>179.13615508189179</v>
      </c>
      <c r="F19">
        <f t="shared" si="3"/>
        <v>-13.136155081891786</v>
      </c>
      <c r="G19">
        <f t="shared" si="4"/>
        <v>172.5585703355114</v>
      </c>
    </row>
    <row r="20" spans="1:7">
      <c r="A20" s="26">
        <v>15</v>
      </c>
      <c r="B20" s="27">
        <v>162</v>
      </c>
      <c r="C20">
        <f t="shared" si="0"/>
        <v>165.20805458453103</v>
      </c>
      <c r="D20">
        <f t="shared" si="1"/>
        <v>0.60296195917803785</v>
      </c>
      <c r="E20">
        <f t="shared" si="2"/>
        <v>171.41053884438773</v>
      </c>
      <c r="F20">
        <f t="shared" si="3"/>
        <v>-9.4105388443877303</v>
      </c>
      <c r="G20">
        <f t="shared" si="4"/>
        <v>88.558241341730351</v>
      </c>
    </row>
    <row r="21" spans="1:7">
      <c r="A21" s="26">
        <v>16</v>
      </c>
      <c r="B21" s="27">
        <v>147</v>
      </c>
      <c r="C21">
        <f t="shared" si="0"/>
        <v>153.41267932268559</v>
      </c>
      <c r="D21">
        <f t="shared" si="1"/>
        <v>-5.5603756566270146E-2</v>
      </c>
      <c r="E21">
        <f t="shared" si="2"/>
        <v>165.81101654370906</v>
      </c>
      <c r="F21">
        <f t="shared" si="3"/>
        <v>-18.811016543709059</v>
      </c>
      <c r="G21">
        <f t="shared" si="4"/>
        <v>353.85434340769592</v>
      </c>
    </row>
    <row r="22" spans="1:7">
      <c r="A22" s="26">
        <v>17</v>
      </c>
      <c r="B22" s="27">
        <v>188</v>
      </c>
      <c r="C22">
        <f t="shared" si="0"/>
        <v>176.19022009372475</v>
      </c>
      <c r="D22">
        <f t="shared" si="1"/>
        <v>1.1572303437208014</v>
      </c>
      <c r="E22">
        <f t="shared" si="2"/>
        <v>153.35707556611933</v>
      </c>
      <c r="F22">
        <f t="shared" si="3"/>
        <v>34.642924433880665</v>
      </c>
      <c r="G22">
        <f t="shared" si="4"/>
        <v>1200.1322133315659</v>
      </c>
    </row>
    <row r="23" spans="1:7">
      <c r="A23" s="26">
        <v>18</v>
      </c>
      <c r="B23" s="27">
        <v>161</v>
      </c>
      <c r="C23">
        <f t="shared" si="0"/>
        <v>166.57284914163202</v>
      </c>
      <c r="D23">
        <f t="shared" si="1"/>
        <v>0.58491303312169129</v>
      </c>
      <c r="E23">
        <f t="shared" si="2"/>
        <v>177.34745043744556</v>
      </c>
      <c r="F23">
        <f t="shared" si="3"/>
        <v>-16.347450437445559</v>
      </c>
      <c r="G23">
        <f t="shared" si="4"/>
        <v>267.23913580473902</v>
      </c>
    </row>
    <row r="24" spans="1:7">
      <c r="A24" s="26">
        <v>19</v>
      </c>
      <c r="B24" s="27">
        <v>162</v>
      </c>
      <c r="C24">
        <f t="shared" si="0"/>
        <v>163.75828216261041</v>
      </c>
      <c r="D24">
        <f t="shared" si="1"/>
        <v>0.40434196561117125</v>
      </c>
      <c r="E24">
        <f t="shared" si="2"/>
        <v>167.15776217475371</v>
      </c>
      <c r="F24">
        <f t="shared" si="3"/>
        <v>-5.1577621747537137</v>
      </c>
      <c r="G24">
        <f t="shared" si="4"/>
        <v>26.602510651320159</v>
      </c>
    </row>
    <row r="25" spans="1:7">
      <c r="A25" s="26">
        <v>20</v>
      </c>
      <c r="B25" s="27">
        <v>169</v>
      </c>
      <c r="C25">
        <f t="shared" si="0"/>
        <v>167.35093759250424</v>
      </c>
      <c r="D25">
        <f t="shared" si="1"/>
        <v>0.57369644445710044</v>
      </c>
      <c r="E25">
        <f t="shared" si="2"/>
        <v>164.16262412822158</v>
      </c>
      <c r="F25">
        <f t="shared" si="3"/>
        <v>4.8373758717784199</v>
      </c>
      <c r="G25">
        <f t="shared" si="4"/>
        <v>23.400205324864029</v>
      </c>
    </row>
    <row r="26" spans="1:7">
      <c r="A26" s="26">
        <v>21</v>
      </c>
      <c r="B26" s="27">
        <v>185</v>
      </c>
      <c r="C26">
        <f t="shared" si="0"/>
        <v>179.17900430930794</v>
      </c>
      <c r="D26">
        <f t="shared" si="1"/>
        <v>1.1714977690646893</v>
      </c>
      <c r="E26">
        <f t="shared" si="2"/>
        <v>167.92463403696135</v>
      </c>
      <c r="F26">
        <f t="shared" si="3"/>
        <v>17.075365963038649</v>
      </c>
      <c r="G26">
        <f t="shared" si="4"/>
        <v>291.56812277169882</v>
      </c>
    </row>
    <row r="27" spans="1:7">
      <c r="A27" s="26">
        <v>22</v>
      </c>
      <c r="B27" s="27">
        <v>188</v>
      </c>
      <c r="C27">
        <f t="shared" si="0"/>
        <v>185.39228462018704</v>
      </c>
      <c r="D27">
        <f t="shared" si="1"/>
        <v>1.4393034488978649</v>
      </c>
      <c r="E27">
        <f t="shared" si="2"/>
        <v>180.35050207837264</v>
      </c>
      <c r="F27">
        <f t="shared" si="3"/>
        <v>7.6494979216273578</v>
      </c>
      <c r="G27">
        <f t="shared" si="4"/>
        <v>58.514818452981267</v>
      </c>
    </row>
    <row r="28" spans="1:7">
      <c r="A28" s="26">
        <v>23</v>
      </c>
      <c r="B28" s="27">
        <v>200</v>
      </c>
      <c r="C28">
        <f t="shared" si="0"/>
        <v>195.51088572455558</v>
      </c>
      <c r="D28">
        <f t="shared" si="1"/>
        <v>1.9003239688866813</v>
      </c>
      <c r="E28">
        <f t="shared" si="2"/>
        <v>186.83158806908492</v>
      </c>
      <c r="F28">
        <f t="shared" si="3"/>
        <v>13.168411930915084</v>
      </c>
      <c r="G28">
        <f t="shared" si="4"/>
        <v>173.40707278226674</v>
      </c>
    </row>
    <row r="29" spans="1:7">
      <c r="A29" s="26">
        <v>24</v>
      </c>
      <c r="B29" s="27">
        <v>229</v>
      </c>
      <c r="C29">
        <f t="shared" si="0"/>
        <v>218.23137503192197</v>
      </c>
      <c r="D29">
        <f t="shared" si="1"/>
        <v>3.006234127936128</v>
      </c>
      <c r="E29">
        <f t="shared" si="2"/>
        <v>197.41120969344226</v>
      </c>
      <c r="F29">
        <f t="shared" si="3"/>
        <v>31.58879030655774</v>
      </c>
      <c r="G29">
        <f t="shared" si="4"/>
        <v>997.85167303167623</v>
      </c>
    </row>
    <row r="30" spans="1:7">
      <c r="A30" s="26">
        <v>25</v>
      </c>
      <c r="B30" s="27">
        <v>189</v>
      </c>
      <c r="C30">
        <f t="shared" si="0"/>
        <v>199.98980744564696</v>
      </c>
      <c r="D30">
        <f t="shared" si="1"/>
        <v>1.8776090958483582</v>
      </c>
      <c r="E30">
        <f t="shared" si="2"/>
        <v>221.2376091598581</v>
      </c>
      <c r="F30">
        <f t="shared" si="3"/>
        <v>-32.237609159858096</v>
      </c>
      <c r="G30">
        <f t="shared" si="4"/>
        <v>1039.2634443437667</v>
      </c>
    </row>
    <row r="31" spans="1:7">
      <c r="A31" s="26">
        <v>26</v>
      </c>
      <c r="B31" s="27">
        <v>218</v>
      </c>
      <c r="C31">
        <f t="shared" si="0"/>
        <v>212.50039905469913</v>
      </c>
      <c r="D31">
        <f t="shared" si="1"/>
        <v>2.4424040045907045</v>
      </c>
      <c r="E31">
        <f t="shared" si="2"/>
        <v>201.86741654149532</v>
      </c>
      <c r="F31">
        <f t="shared" si="3"/>
        <v>16.132583458504683</v>
      </c>
      <c r="G31">
        <f t="shared" si="4"/>
        <v>260.26024904561893</v>
      </c>
    </row>
    <row r="32" spans="1:7">
      <c r="A32" s="26">
        <v>27</v>
      </c>
      <c r="B32" s="27">
        <v>185</v>
      </c>
      <c r="C32">
        <f t="shared" si="0"/>
        <v>195.20750758447289</v>
      </c>
      <c r="D32">
        <f t="shared" si="1"/>
        <v>1.3941191613812731</v>
      </c>
      <c r="E32">
        <f t="shared" si="2"/>
        <v>214.94280305928984</v>
      </c>
      <c r="F32">
        <f t="shared" si="3"/>
        <v>-29.942803059289844</v>
      </c>
      <c r="G32">
        <f t="shared" si="4"/>
        <v>896.5714550474172</v>
      </c>
    </row>
    <row r="33" spans="1:7">
      <c r="A33" s="26">
        <v>28</v>
      </c>
      <c r="B33" s="27">
        <v>199</v>
      </c>
      <c r="C33">
        <f t="shared" si="0"/>
        <v>198.18239407534375</v>
      </c>
      <c r="D33">
        <f t="shared" si="1"/>
        <v>1.4780851924072138</v>
      </c>
      <c r="E33">
        <f t="shared" si="2"/>
        <v>196.60162674585416</v>
      </c>
      <c r="F33">
        <f t="shared" si="3"/>
        <v>2.398373254145838</v>
      </c>
      <c r="G33">
        <f t="shared" si="4"/>
        <v>5.7521942662020962</v>
      </c>
    </row>
    <row r="34" spans="1:7">
      <c r="A34" s="26">
        <v>29</v>
      </c>
      <c r="B34" s="27">
        <v>210</v>
      </c>
      <c r="C34">
        <f t="shared" si="0"/>
        <v>206.47525530307684</v>
      </c>
      <c r="D34">
        <f t="shared" si="1"/>
        <v>1.8400674306166587</v>
      </c>
      <c r="E34">
        <f t="shared" si="2"/>
        <v>199.66047926775096</v>
      </c>
      <c r="F34">
        <f t="shared" si="3"/>
        <v>10.339520732249042</v>
      </c>
      <c r="G34">
        <f t="shared" si="4"/>
        <v>106.90568897260776</v>
      </c>
    </row>
    <row r="35" spans="1:7">
      <c r="A35" s="26">
        <v>30</v>
      </c>
      <c r="B35" s="27">
        <v>193</v>
      </c>
      <c r="C35">
        <f t="shared" si="0"/>
        <v>198.22099659985989</v>
      </c>
      <c r="D35">
        <f t="shared" si="1"/>
        <v>1.3038844734365465</v>
      </c>
      <c r="E35">
        <f t="shared" si="2"/>
        <v>208.31532273369351</v>
      </c>
      <c r="F35">
        <f t="shared" si="3"/>
        <v>-15.315322733693506</v>
      </c>
      <c r="G35">
        <f t="shared" si="4"/>
        <v>234.55911043718913</v>
      </c>
    </row>
    <row r="36" spans="1:7">
      <c r="A36" s="26">
        <v>31</v>
      </c>
      <c r="B36" s="27">
        <v>211</v>
      </c>
      <c r="C36">
        <f t="shared" si="0"/>
        <v>207.08812965021608</v>
      </c>
      <c r="D36">
        <f t="shared" si="1"/>
        <v>1.7056235230863066</v>
      </c>
      <c r="E36">
        <f t="shared" si="2"/>
        <v>199.52488107329643</v>
      </c>
      <c r="F36">
        <f t="shared" si="3"/>
        <v>11.475118926703573</v>
      </c>
      <c r="G36">
        <f t="shared" si="4"/>
        <v>131.67835438199054</v>
      </c>
    </row>
    <row r="37" spans="1:7">
      <c r="A37" s="26">
        <v>32</v>
      </c>
      <c r="B37" s="27">
        <v>208</v>
      </c>
      <c r="C37">
        <f t="shared" si="0"/>
        <v>208.27059061640423</v>
      </c>
      <c r="D37">
        <f t="shared" si="1"/>
        <v>1.6778345609382181</v>
      </c>
      <c r="E37">
        <f t="shared" si="2"/>
        <v>208.79375317330238</v>
      </c>
      <c r="F37">
        <f t="shared" si="3"/>
        <v>-0.79375317330237749</v>
      </c>
      <c r="G37">
        <f t="shared" si="4"/>
        <v>0.63004410012759415</v>
      </c>
    </row>
    <row r="38" spans="1:7">
      <c r="A38" s="26">
        <v>33</v>
      </c>
      <c r="B38" s="27">
        <v>216</v>
      </c>
      <c r="C38">
        <f t="shared" si="0"/>
        <v>213.93701692597156</v>
      </c>
      <c r="D38">
        <f t="shared" si="1"/>
        <v>1.8896976303902795</v>
      </c>
      <c r="E38">
        <f t="shared" si="2"/>
        <v>209.94842517734244</v>
      </c>
      <c r="F38">
        <f t="shared" si="3"/>
        <v>6.0515748226575568</v>
      </c>
      <c r="G38">
        <f t="shared" si="4"/>
        <v>36.621557834222841</v>
      </c>
    </row>
    <row r="39" spans="1:7">
      <c r="A39" s="26">
        <v>34</v>
      </c>
      <c r="B39" s="27">
        <v>218</v>
      </c>
      <c r="C39">
        <f t="shared" si="0"/>
        <v>217.25912655521145</v>
      </c>
      <c r="D39">
        <f t="shared" si="1"/>
        <v>1.9657834325786199</v>
      </c>
      <c r="E39">
        <f t="shared" si="2"/>
        <v>215.82671455636185</v>
      </c>
      <c r="F39">
        <f t="shared" si="3"/>
        <v>2.1732854436381501</v>
      </c>
      <c r="G39">
        <f t="shared" si="4"/>
        <v>4.7231696195294708</v>
      </c>
    </row>
    <row r="40" spans="1:7">
      <c r="A40" s="26">
        <v>35</v>
      </c>
      <c r="B40" s="27">
        <v>264</v>
      </c>
      <c r="C40">
        <f t="shared" si="0"/>
        <v>248.73616281047239</v>
      </c>
      <c r="D40">
        <f t="shared" si="1"/>
        <v>3.5333403550283133</v>
      </c>
      <c r="E40">
        <f t="shared" si="2"/>
        <v>219.22490998779008</v>
      </c>
      <c r="F40">
        <f t="shared" si="3"/>
        <v>44.775090012209915</v>
      </c>
      <c r="G40">
        <f t="shared" si="4"/>
        <v>2004.8086856015002</v>
      </c>
    </row>
    <row r="41" spans="1:7">
      <c r="A41" s="29">
        <v>36</v>
      </c>
      <c r="B41" s="30">
        <v>304</v>
      </c>
      <c r="C41">
        <f t="shared" si="0"/>
        <v>286.36506322600695</v>
      </c>
      <c r="D41">
        <f t="shared" si="1"/>
        <v>5.3444031221286892</v>
      </c>
      <c r="E41">
        <f t="shared" si="2"/>
        <v>252.26950316550071</v>
      </c>
      <c r="F41">
        <f t="shared" si="3"/>
        <v>51.730496834499291</v>
      </c>
      <c r="G41">
        <f t="shared" si="4"/>
        <v>2676.0443027441411</v>
      </c>
    </row>
    <row r="42" spans="1:7">
      <c r="A42" s="26">
        <v>37</v>
      </c>
      <c r="B42">
        <f>C$41+(A42-$A$41)*$D$41</f>
        <v>291.70946634813566</v>
      </c>
    </row>
    <row r="43" spans="1:7">
      <c r="A43" s="26">
        <v>38</v>
      </c>
      <c r="B43">
        <f t="shared" ref="B43:B53" si="5">C$41+(A43-$A$41)*$D$41</f>
        <v>297.05386947026432</v>
      </c>
    </row>
    <row r="44" spans="1:7">
      <c r="A44" s="29">
        <v>39</v>
      </c>
      <c r="B44">
        <f t="shared" si="5"/>
        <v>302.39827259239303</v>
      </c>
    </row>
    <row r="45" spans="1:7">
      <c r="A45" s="26">
        <v>40</v>
      </c>
      <c r="B45">
        <f t="shared" si="5"/>
        <v>307.74267571452174</v>
      </c>
    </row>
    <row r="46" spans="1:7">
      <c r="A46" s="26">
        <v>41</v>
      </c>
      <c r="B46">
        <f t="shared" si="5"/>
        <v>313.08707883665039</v>
      </c>
    </row>
    <row r="47" spans="1:7">
      <c r="A47" s="29">
        <v>42</v>
      </c>
      <c r="B47">
        <f t="shared" si="5"/>
        <v>318.4314819587791</v>
      </c>
    </row>
    <row r="48" spans="1:7">
      <c r="A48" s="26">
        <v>43</v>
      </c>
      <c r="B48">
        <f t="shared" si="5"/>
        <v>323.77588508090776</v>
      </c>
    </row>
    <row r="49" spans="1:2">
      <c r="A49" s="26">
        <v>44</v>
      </c>
      <c r="B49">
        <f t="shared" si="5"/>
        <v>329.12028820303647</v>
      </c>
    </row>
    <row r="50" spans="1:2">
      <c r="A50" s="29">
        <v>45</v>
      </c>
      <c r="B50">
        <f t="shared" si="5"/>
        <v>334.46469132516518</v>
      </c>
    </row>
    <row r="51" spans="1:2">
      <c r="A51" s="26">
        <v>46</v>
      </c>
      <c r="B51">
        <f t="shared" si="5"/>
        <v>339.80909444729383</v>
      </c>
    </row>
    <row r="52" spans="1:2">
      <c r="A52" s="26">
        <v>47</v>
      </c>
      <c r="B52">
        <f t="shared" si="5"/>
        <v>345.15349756942254</v>
      </c>
    </row>
    <row r="53" spans="1:2">
      <c r="A53" s="29">
        <v>48</v>
      </c>
      <c r="B53">
        <f t="shared" si="5"/>
        <v>350.49790069155119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53"/>
  <sheetViews>
    <sheetView workbookViewId="0">
      <pane ySplit="4" topLeftCell="A5" activePane="bottomLeft" state="frozen"/>
      <selection activeCell="O15" sqref="O15"/>
      <selection pane="bottomLeft" activeCell="F41" sqref="F4:F41"/>
    </sheetView>
  </sheetViews>
  <sheetFormatPr baseColWidth="10" defaultColWidth="11" defaultRowHeight="15" x14ac:dyDescent="0"/>
  <cols>
    <col min="1" max="1" width="12" bestFit="1" customWidth="1"/>
    <col min="3" max="3" width="11" style="18"/>
    <col min="4" max="4" width="11.83203125" style="18" customWidth="1"/>
    <col min="5" max="7" width="10.83203125" style="18" customWidth="1"/>
  </cols>
  <sheetData>
    <row r="1" spans="1:8" s="1" customFormat="1" ht="63">
      <c r="A1" s="1" t="s">
        <v>14</v>
      </c>
      <c r="C1" s="19" t="s">
        <v>15</v>
      </c>
      <c r="D1" s="19" t="s">
        <v>16</v>
      </c>
      <c r="E1" s="19"/>
      <c r="F1" s="19" t="s">
        <v>8</v>
      </c>
      <c r="G1" s="19" t="s">
        <v>9</v>
      </c>
    </row>
    <row r="2" spans="1:8">
      <c r="A2">
        <v>36</v>
      </c>
      <c r="C2" s="18">
        <v>0.65910004656016274</v>
      </c>
      <c r="D2" s="18">
        <v>5.3117180460981163E-2</v>
      </c>
      <c r="F2" s="18">
        <f>SUM(G6:G41)</f>
        <v>14097.280825537555</v>
      </c>
      <c r="G2" s="18">
        <f>SQRT(F2/(36-2))</f>
        <v>20.362364956788724</v>
      </c>
    </row>
    <row r="4" spans="1:8" ht="27" customHeight="1">
      <c r="A4" s="1" t="s">
        <v>1</v>
      </c>
      <c r="B4" s="1" t="s">
        <v>3</v>
      </c>
      <c r="C4" s="18" t="s">
        <v>12</v>
      </c>
      <c r="D4" s="18" t="s">
        <v>28</v>
      </c>
      <c r="E4" s="19" t="s">
        <v>5</v>
      </c>
      <c r="F4" s="19" t="s">
        <v>6</v>
      </c>
      <c r="G4" s="19" t="s">
        <v>7</v>
      </c>
      <c r="H4" s="1"/>
    </row>
    <row r="5" spans="1:8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>
      <c r="A6">
        <v>1</v>
      </c>
      <c r="B6">
        <v>165</v>
      </c>
      <c r="C6" s="18">
        <f>C5+D5+C$2*F6</f>
        <v>162.17629159566249</v>
      </c>
      <c r="D6" s="18">
        <f>D5+D$2*C$2*F6</f>
        <v>1.1268874885939677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>
      <c r="A7">
        <v>2</v>
      </c>
      <c r="B7">
        <v>171</v>
      </c>
      <c r="C7" s="18">
        <f t="shared" ref="C7:C41" si="0">C6+D6+C$2*F7</f>
        <v>168.37615410818827</v>
      </c>
      <c r="D7" s="18">
        <f t="shared" ref="D7:D41" si="1">D6+D$2*C$2*F7</f>
        <v>1.396349618414203</v>
      </c>
      <c r="E7" s="18">
        <f t="shared" ref="E7:E41" si="2">C6+D6</f>
        <v>163.30317908425647</v>
      </c>
      <c r="F7" s="18">
        <f t="shared" ref="F7:F41" si="3">B7-E7</f>
        <v>7.6968209157435297</v>
      </c>
      <c r="G7" s="18">
        <f t="shared" ref="G7:G41" si="4">F7^2</f>
        <v>59.241052209027067</v>
      </c>
    </row>
    <row r="8" spans="1:8">
      <c r="A8">
        <v>3</v>
      </c>
      <c r="B8">
        <v>147</v>
      </c>
      <c r="C8" s="18">
        <f t="shared" si="0"/>
        <v>154.7631454601073</v>
      </c>
      <c r="D8" s="18">
        <f t="shared" si="1"/>
        <v>0.59909482676925951</v>
      </c>
      <c r="E8" s="18">
        <f t="shared" si="2"/>
        <v>169.77250372660248</v>
      </c>
      <c r="F8" s="18">
        <f t="shared" si="3"/>
        <v>-22.77250372660248</v>
      </c>
      <c r="G8" s="18">
        <f t="shared" si="4"/>
        <v>518.58692597812387</v>
      </c>
    </row>
    <row r="9" spans="1:8">
      <c r="A9">
        <v>4</v>
      </c>
      <c r="B9">
        <v>143</v>
      </c>
      <c r="C9" s="18">
        <f t="shared" si="0"/>
        <v>147.21428713820831</v>
      </c>
      <c r="D9" s="18">
        <f t="shared" si="1"/>
        <v>0.16629852898382796</v>
      </c>
      <c r="E9" s="18">
        <f t="shared" si="2"/>
        <v>155.36224028687656</v>
      </c>
      <c r="F9" s="18">
        <f t="shared" si="3"/>
        <v>-12.362240286876556</v>
      </c>
      <c r="G9" s="18">
        <f t="shared" si="4"/>
        <v>152.82498491047375</v>
      </c>
    </row>
    <row r="10" spans="1:8">
      <c r="A10">
        <v>5</v>
      </c>
      <c r="B10">
        <v>164</v>
      </c>
      <c r="C10" s="18">
        <f t="shared" si="0"/>
        <v>158.33444242774843</v>
      </c>
      <c r="D10" s="18">
        <f t="shared" si="1"/>
        <v>0.74813651527803593</v>
      </c>
      <c r="E10" s="18">
        <f t="shared" si="2"/>
        <v>147.38058566719212</v>
      </c>
      <c r="F10" s="18">
        <f t="shared" si="3"/>
        <v>16.619414332807878</v>
      </c>
      <c r="G10" s="18">
        <f t="shared" si="4"/>
        <v>276.20493276553992</v>
      </c>
    </row>
    <row r="11" spans="1:8">
      <c r="A11">
        <v>6</v>
      </c>
      <c r="B11">
        <v>160</v>
      </c>
      <c r="C11" s="18">
        <f t="shared" si="0"/>
        <v>159.68725120439299</v>
      </c>
      <c r="D11" s="18">
        <f t="shared" si="1"/>
        <v>0.78025500090479105</v>
      </c>
      <c r="E11" s="18">
        <f t="shared" si="2"/>
        <v>159.08257894302648</v>
      </c>
      <c r="F11" s="18">
        <f t="shared" si="3"/>
        <v>0.91742105697352372</v>
      </c>
      <c r="G11" s="18">
        <f t="shared" si="4"/>
        <v>0.84166139577841748</v>
      </c>
    </row>
    <row r="12" spans="1:8">
      <c r="A12">
        <v>7</v>
      </c>
      <c r="B12">
        <v>152</v>
      </c>
      <c r="C12" s="18">
        <f t="shared" si="0"/>
        <v>154.88657247113755</v>
      </c>
      <c r="D12" s="18">
        <f t="shared" si="1"/>
        <v>0.4838115366066244</v>
      </c>
      <c r="E12" s="18">
        <f t="shared" si="2"/>
        <v>160.46750620529778</v>
      </c>
      <c r="F12" s="18">
        <f t="shared" si="3"/>
        <v>-8.4675062052977808</v>
      </c>
      <c r="G12" s="18">
        <f t="shared" si="4"/>
        <v>71.698661336756416</v>
      </c>
    </row>
    <row r="13" spans="1:8">
      <c r="A13">
        <v>8</v>
      </c>
      <c r="B13">
        <v>150</v>
      </c>
      <c r="C13" s="18">
        <f t="shared" si="0"/>
        <v>151.83076365819403</v>
      </c>
      <c r="D13" s="18">
        <f t="shared" si="1"/>
        <v>0.29579688373620833</v>
      </c>
      <c r="E13" s="18">
        <f t="shared" si="2"/>
        <v>155.37038400774418</v>
      </c>
      <c r="F13" s="18">
        <f t="shared" si="3"/>
        <v>-5.3703840077441782</v>
      </c>
      <c r="G13" s="18">
        <f t="shared" si="4"/>
        <v>28.841024390634423</v>
      </c>
    </row>
    <row r="14" spans="1:8">
      <c r="A14">
        <v>9</v>
      </c>
      <c r="B14">
        <v>159</v>
      </c>
      <c r="C14" s="18">
        <f t="shared" si="0"/>
        <v>156.65684480877249</v>
      </c>
      <c r="D14" s="18">
        <f t="shared" si="1"/>
        <v>0.53643281067761106</v>
      </c>
      <c r="E14" s="18">
        <f t="shared" si="2"/>
        <v>152.12656054193025</v>
      </c>
      <c r="F14" s="18">
        <f t="shared" si="3"/>
        <v>6.873439458069754</v>
      </c>
      <c r="G14" s="18">
        <f t="shared" si="4"/>
        <v>47.244169983750233</v>
      </c>
    </row>
    <row r="15" spans="1:8">
      <c r="A15">
        <v>10</v>
      </c>
      <c r="B15">
        <v>169</v>
      </c>
      <c r="C15" s="18">
        <f t="shared" si="0"/>
        <v>164.97508889019346</v>
      </c>
      <c r="D15" s="18">
        <f t="shared" si="1"/>
        <v>0.94978068425898288</v>
      </c>
      <c r="E15" s="18">
        <f t="shared" si="2"/>
        <v>157.1932776194501</v>
      </c>
      <c r="F15" s="18">
        <f t="shared" si="3"/>
        <v>11.8067223805499</v>
      </c>
      <c r="G15" s="18">
        <f t="shared" si="4"/>
        <v>139.3986933713779</v>
      </c>
    </row>
    <row r="16" spans="1:8">
      <c r="A16">
        <v>11</v>
      </c>
      <c r="B16">
        <v>173</v>
      </c>
      <c r="C16" s="18">
        <f t="shared" si="0"/>
        <v>170.58808836735005</v>
      </c>
      <c r="D16" s="18">
        <f t="shared" si="1"/>
        <v>1.197477718410364</v>
      </c>
      <c r="E16" s="18">
        <f t="shared" si="2"/>
        <v>165.92486957445246</v>
      </c>
      <c r="F16" s="18">
        <f t="shared" si="3"/>
        <v>7.0751304255475418</v>
      </c>
      <c r="G16" s="18">
        <f t="shared" si="4"/>
        <v>50.057470538508539</v>
      </c>
    </row>
    <row r="17" spans="1:7">
      <c r="A17">
        <v>12</v>
      </c>
      <c r="B17">
        <v>203</v>
      </c>
      <c r="C17" s="18">
        <f t="shared" si="0"/>
        <v>192.35900093198484</v>
      </c>
      <c r="D17" s="18">
        <f t="shared" si="1"/>
        <v>2.2902805698395055</v>
      </c>
      <c r="E17" s="18">
        <f t="shared" si="2"/>
        <v>171.78556608576042</v>
      </c>
      <c r="F17" s="18">
        <f t="shared" si="3"/>
        <v>31.214433914239578</v>
      </c>
      <c r="G17" s="18">
        <f t="shared" si="4"/>
        <v>974.34088458642998</v>
      </c>
    </row>
    <row r="18" spans="1:7">
      <c r="A18">
        <v>13</v>
      </c>
      <c r="B18">
        <v>169</v>
      </c>
      <c r="C18" s="18">
        <f t="shared" si="0"/>
        <v>177.7438388697372</v>
      </c>
      <c r="D18" s="18">
        <f t="shared" si="1"/>
        <v>1.3923111227781684</v>
      </c>
      <c r="E18" s="18">
        <f t="shared" si="2"/>
        <v>194.64928150182433</v>
      </c>
      <c r="F18" s="18">
        <f t="shared" si="3"/>
        <v>-25.649281501824333</v>
      </c>
      <c r="G18" s="18">
        <f t="shared" si="4"/>
        <v>657.88564155982795</v>
      </c>
    </row>
    <row r="19" spans="1:7">
      <c r="A19">
        <v>14</v>
      </c>
      <c r="B19">
        <v>166</v>
      </c>
      <c r="C19" s="18">
        <f t="shared" si="0"/>
        <v>170.47811292082721</v>
      </c>
      <c r="D19" s="18">
        <f t="shared" si="1"/>
        <v>0.93242060520344294</v>
      </c>
      <c r="E19" s="18">
        <f t="shared" si="2"/>
        <v>179.13614999251539</v>
      </c>
      <c r="F19" s="18">
        <f t="shared" si="3"/>
        <v>-13.136149992515385</v>
      </c>
      <c r="G19" s="18">
        <f t="shared" si="4"/>
        <v>172.55843662586196</v>
      </c>
    </row>
    <row r="20" spans="1:7">
      <c r="A20">
        <v>15</v>
      </c>
      <c r="B20">
        <v>162</v>
      </c>
      <c r="C20" s="18">
        <f t="shared" si="0"/>
        <v>165.20805044086788</v>
      </c>
      <c r="D20" s="18">
        <f t="shared" si="1"/>
        <v>0.60296219186266831</v>
      </c>
      <c r="E20" s="18">
        <f t="shared" si="2"/>
        <v>171.41053352603066</v>
      </c>
      <c r="F20" s="18">
        <f t="shared" si="3"/>
        <v>-9.4105335260306617</v>
      </c>
      <c r="G20" s="18">
        <f t="shared" si="4"/>
        <v>88.558141244547073</v>
      </c>
    </row>
    <row r="21" spans="1:7">
      <c r="A21">
        <v>16</v>
      </c>
      <c r="B21">
        <v>147</v>
      </c>
      <c r="C21" s="18">
        <f t="shared" si="0"/>
        <v>153.41267333065403</v>
      </c>
      <c r="D21" s="18">
        <f t="shared" si="1"/>
        <v>-5.5602634262205242E-2</v>
      </c>
      <c r="E21" s="18">
        <f t="shared" si="2"/>
        <v>165.81101263273055</v>
      </c>
      <c r="F21" s="18">
        <f t="shared" si="3"/>
        <v>-18.811012632730552</v>
      </c>
      <c r="G21" s="18">
        <f t="shared" si="4"/>
        <v>353.85419626874841</v>
      </c>
    </row>
    <row r="22" spans="1:7">
      <c r="A22">
        <v>17</v>
      </c>
      <c r="B22">
        <v>188</v>
      </c>
      <c r="C22" s="18">
        <f t="shared" si="0"/>
        <v>176.19022701338039</v>
      </c>
      <c r="D22" s="18">
        <f t="shared" si="1"/>
        <v>1.1572302503210694</v>
      </c>
      <c r="E22" s="18">
        <f t="shared" si="2"/>
        <v>153.35707069639182</v>
      </c>
      <c r="F22" s="18">
        <f t="shared" si="3"/>
        <v>34.642929303608184</v>
      </c>
      <c r="G22" s="18">
        <f t="shared" si="4"/>
        <v>1200.1325507347947</v>
      </c>
    </row>
    <row r="23" spans="1:7">
      <c r="A23">
        <v>18</v>
      </c>
      <c r="B23">
        <v>161</v>
      </c>
      <c r="C23" s="18">
        <f t="shared" si="0"/>
        <v>166.57284742005555</v>
      </c>
      <c r="D23" s="18">
        <f t="shared" si="1"/>
        <v>0.5849133548594655</v>
      </c>
      <c r="E23" s="18">
        <f t="shared" si="2"/>
        <v>177.34745726370147</v>
      </c>
      <c r="F23" s="18">
        <f t="shared" si="3"/>
        <v>-16.347457263701472</v>
      </c>
      <c r="G23" s="18">
        <f t="shared" si="4"/>
        <v>267.23935898854603</v>
      </c>
    </row>
    <row r="24" spans="1:7">
      <c r="A24">
        <v>19</v>
      </c>
      <c r="B24">
        <v>162</v>
      </c>
      <c r="C24" s="18">
        <f t="shared" si="0"/>
        <v>163.75828040802236</v>
      </c>
      <c r="D24" s="18">
        <f t="shared" si="1"/>
        <v>0.40434254273766557</v>
      </c>
      <c r="E24" s="18">
        <f t="shared" si="2"/>
        <v>167.157760774915</v>
      </c>
      <c r="F24" s="18">
        <f t="shared" si="3"/>
        <v>-5.1577607749150047</v>
      </c>
      <c r="G24" s="18">
        <f t="shared" si="4"/>
        <v>26.602496211251829</v>
      </c>
    </row>
    <row r="25" spans="1:7">
      <c r="A25">
        <v>20</v>
      </c>
      <c r="B25">
        <v>169</v>
      </c>
      <c r="C25" s="18">
        <f t="shared" si="0"/>
        <v>167.35093838914315</v>
      </c>
      <c r="D25" s="18">
        <f t="shared" si="1"/>
        <v>0.57369686924479502</v>
      </c>
      <c r="E25" s="18">
        <f t="shared" si="2"/>
        <v>164.16262295076001</v>
      </c>
      <c r="F25" s="18">
        <f t="shared" si="3"/>
        <v>4.8373770492399899</v>
      </c>
      <c r="G25" s="18">
        <f t="shared" si="4"/>
        <v>23.400216716513793</v>
      </c>
    </row>
    <row r="26" spans="1:7">
      <c r="A26">
        <v>21</v>
      </c>
      <c r="B26">
        <v>185</v>
      </c>
      <c r="C26" s="18">
        <f t="shared" si="0"/>
        <v>179.17900895461622</v>
      </c>
      <c r="D26" s="18">
        <f t="shared" si="1"/>
        <v>1.1714974678426713</v>
      </c>
      <c r="E26" s="18">
        <f t="shared" si="2"/>
        <v>167.92463525838795</v>
      </c>
      <c r="F26" s="18">
        <f t="shared" si="3"/>
        <v>17.075364741612049</v>
      </c>
      <c r="G26" s="18">
        <f t="shared" si="4"/>
        <v>291.56808105908789</v>
      </c>
    </row>
    <row r="27" spans="1:7">
      <c r="A27">
        <v>22</v>
      </c>
      <c r="B27">
        <v>188</v>
      </c>
      <c r="C27" s="18">
        <f t="shared" si="0"/>
        <v>185.3922879955779</v>
      </c>
      <c r="D27" s="18">
        <f t="shared" si="1"/>
        <v>1.4393026895068832</v>
      </c>
      <c r="E27" s="18">
        <f t="shared" si="2"/>
        <v>180.35050642245889</v>
      </c>
      <c r="F27" s="18">
        <f t="shared" si="3"/>
        <v>7.6494935775411079</v>
      </c>
      <c r="G27" s="18">
        <f t="shared" si="4"/>
        <v>58.514751992842655</v>
      </c>
    </row>
    <row r="28" spans="1:7">
      <c r="A28">
        <v>23</v>
      </c>
      <c r="B28">
        <v>200</v>
      </c>
      <c r="C28" s="18">
        <f t="shared" si="0"/>
        <v>195.51088987766869</v>
      </c>
      <c r="D28" s="18">
        <f t="shared" si="1"/>
        <v>1.9003225909942101</v>
      </c>
      <c r="E28" s="18">
        <f t="shared" si="2"/>
        <v>186.83159068508479</v>
      </c>
      <c r="F28" s="18">
        <f t="shared" si="3"/>
        <v>13.168409314915209</v>
      </c>
      <c r="G28" s="18">
        <f t="shared" si="4"/>
        <v>173.40700388514566</v>
      </c>
    </row>
    <row r="29" spans="1:7">
      <c r="A29">
        <v>24</v>
      </c>
      <c r="B29">
        <v>229</v>
      </c>
      <c r="C29" s="18">
        <f t="shared" si="0"/>
        <v>218.23138380134628</v>
      </c>
      <c r="D29" s="18">
        <f t="shared" si="1"/>
        <v>3.0062313889008987</v>
      </c>
      <c r="E29" s="18">
        <f t="shared" si="2"/>
        <v>197.41121246866291</v>
      </c>
      <c r="F29" s="18">
        <f t="shared" si="3"/>
        <v>31.58878753133709</v>
      </c>
      <c r="G29" s="18">
        <f t="shared" si="4"/>
        <v>997.85149769995758</v>
      </c>
    </row>
    <row r="30" spans="1:7">
      <c r="A30">
        <v>25</v>
      </c>
      <c r="B30">
        <v>189</v>
      </c>
      <c r="C30" s="18">
        <f t="shared" si="0"/>
        <v>199.98980151736666</v>
      </c>
      <c r="D30" s="18">
        <f t="shared" si="1"/>
        <v>1.8776074356372012</v>
      </c>
      <c r="E30" s="18">
        <f t="shared" si="2"/>
        <v>221.23761519024717</v>
      </c>
      <c r="F30" s="18">
        <f t="shared" si="3"/>
        <v>-32.237615190247169</v>
      </c>
      <c r="G30" s="18">
        <f t="shared" si="4"/>
        <v>1039.2638331544549</v>
      </c>
    </row>
    <row r="31" spans="1:7">
      <c r="A31">
        <v>26</v>
      </c>
      <c r="B31">
        <v>218</v>
      </c>
      <c r="C31" s="18">
        <f t="shared" si="0"/>
        <v>212.50040046321507</v>
      </c>
      <c r="D31" s="18">
        <f t="shared" si="1"/>
        <v>2.4424019645251711</v>
      </c>
      <c r="E31" s="18">
        <f t="shared" si="2"/>
        <v>201.86740895300386</v>
      </c>
      <c r="F31" s="18">
        <f t="shared" si="3"/>
        <v>16.13259104699614</v>
      </c>
      <c r="G31" s="18">
        <f t="shared" si="4"/>
        <v>260.26049388962002</v>
      </c>
    </row>
    <row r="32" spans="1:7">
      <c r="A32">
        <v>27</v>
      </c>
      <c r="B32">
        <v>185</v>
      </c>
      <c r="C32" s="18">
        <f t="shared" si="0"/>
        <v>195.20749995347489</v>
      </c>
      <c r="D32" s="18">
        <f t="shared" si="1"/>
        <v>1.3941183415475704</v>
      </c>
      <c r="E32" s="18">
        <f t="shared" si="2"/>
        <v>214.94280242774025</v>
      </c>
      <c r="F32" s="18">
        <f t="shared" si="3"/>
        <v>-29.942802427740247</v>
      </c>
      <c r="G32" s="18">
        <f t="shared" si="4"/>
        <v>896.57141722668723</v>
      </c>
    </row>
    <row r="33" spans="1:7">
      <c r="A33">
        <v>28</v>
      </c>
      <c r="B33">
        <v>199</v>
      </c>
      <c r="C33" s="18">
        <f t="shared" si="0"/>
        <v>198.1823917884422</v>
      </c>
      <c r="D33" s="18">
        <f t="shared" si="1"/>
        <v>1.4780845724654823</v>
      </c>
      <c r="E33" s="18">
        <f t="shared" si="2"/>
        <v>196.60161829502246</v>
      </c>
      <c r="F33" s="18">
        <f t="shared" si="3"/>
        <v>2.3983817049775382</v>
      </c>
      <c r="G33" s="18">
        <f t="shared" si="4"/>
        <v>5.7522348027709631</v>
      </c>
    </row>
    <row r="34" spans="1:7">
      <c r="A34">
        <v>29</v>
      </c>
      <c r="B34">
        <v>210</v>
      </c>
      <c r="C34" s="18">
        <f t="shared" si="0"/>
        <v>206.47525687284335</v>
      </c>
      <c r="D34" s="18">
        <f t="shared" si="1"/>
        <v>1.8400664987199453</v>
      </c>
      <c r="E34" s="18">
        <f t="shared" si="2"/>
        <v>199.66047636090769</v>
      </c>
      <c r="F34" s="18">
        <f t="shared" si="3"/>
        <v>10.339523639092306</v>
      </c>
      <c r="G34" s="18">
        <f t="shared" si="4"/>
        <v>106.9057490833486</v>
      </c>
    </row>
    <row r="35" spans="1:7">
      <c r="A35">
        <v>30</v>
      </c>
      <c r="B35">
        <v>193</v>
      </c>
      <c r="C35" s="18">
        <f t="shared" si="0"/>
        <v>198.22099302428197</v>
      </c>
      <c r="D35" s="18">
        <f t="shared" si="1"/>
        <v>1.3038841320306451</v>
      </c>
      <c r="E35" s="18">
        <f t="shared" si="2"/>
        <v>208.3153233715633</v>
      </c>
      <c r="F35" s="18">
        <f t="shared" si="3"/>
        <v>-15.315323371563295</v>
      </c>
      <c r="G35" s="18">
        <f t="shared" si="4"/>
        <v>234.55912997555291</v>
      </c>
    </row>
    <row r="36" spans="1:7">
      <c r="A36">
        <v>31</v>
      </c>
      <c r="B36">
        <v>211</v>
      </c>
      <c r="C36" s="18">
        <f t="shared" si="0"/>
        <v>207.08813115687056</v>
      </c>
      <c r="D36" s="18">
        <f t="shared" si="1"/>
        <v>1.7056228596505192</v>
      </c>
      <c r="E36" s="18">
        <f t="shared" si="2"/>
        <v>199.52487715631261</v>
      </c>
      <c r="F36" s="18">
        <f t="shared" si="3"/>
        <v>11.475122843687387</v>
      </c>
      <c r="G36" s="18">
        <f t="shared" si="4"/>
        <v>131.67844427771612</v>
      </c>
    </row>
    <row r="37" spans="1:7">
      <c r="A37">
        <v>32</v>
      </c>
      <c r="B37">
        <v>208</v>
      </c>
      <c r="C37" s="18">
        <f t="shared" si="0"/>
        <v>208.27059070727472</v>
      </c>
      <c r="D37" s="18">
        <f t="shared" si="1"/>
        <v>1.6778338997427158</v>
      </c>
      <c r="E37" s="18">
        <f t="shared" si="2"/>
        <v>208.79375401652109</v>
      </c>
      <c r="F37" s="18">
        <f t="shared" si="3"/>
        <v>-0.7937540165210919</v>
      </c>
      <c r="G37" s="18">
        <f t="shared" si="4"/>
        <v>0.63004543874336583</v>
      </c>
    </row>
    <row r="38" spans="1:7">
      <c r="A38">
        <v>33</v>
      </c>
      <c r="B38">
        <v>216</v>
      </c>
      <c r="C38" s="18">
        <f t="shared" si="0"/>
        <v>213.93701823029457</v>
      </c>
      <c r="D38" s="18">
        <f t="shared" si="1"/>
        <v>1.8896967470158463</v>
      </c>
      <c r="E38" s="18">
        <f t="shared" si="2"/>
        <v>209.94842460701744</v>
      </c>
      <c r="F38" s="18">
        <f t="shared" si="3"/>
        <v>6.0515753929825564</v>
      </c>
      <c r="G38" s="18">
        <f t="shared" si="4"/>
        <v>36.621564736951981</v>
      </c>
    </row>
    <row r="39" spans="1:7">
      <c r="A39">
        <v>34</v>
      </c>
      <c r="B39">
        <v>218</v>
      </c>
      <c r="C39" s="18">
        <f t="shared" si="0"/>
        <v>217.25912723695362</v>
      </c>
      <c r="D39" s="18">
        <f t="shared" si="1"/>
        <v>1.9657824475058365</v>
      </c>
      <c r="E39" s="18">
        <f t="shared" si="2"/>
        <v>215.82671497731042</v>
      </c>
      <c r="F39" s="18">
        <f t="shared" si="3"/>
        <v>2.1732850226895835</v>
      </c>
      <c r="G39" s="18">
        <f t="shared" si="4"/>
        <v>4.7231677898468636</v>
      </c>
    </row>
    <row r="40" spans="1:7">
      <c r="A40">
        <v>35</v>
      </c>
      <c r="B40">
        <v>264</v>
      </c>
      <c r="C40" s="18">
        <f t="shared" si="0"/>
        <v>248.73617379616772</v>
      </c>
      <c r="D40" s="18">
        <f t="shared" si="1"/>
        <v>3.5333375889591219</v>
      </c>
      <c r="E40" s="18">
        <f t="shared" si="2"/>
        <v>219.22490968445945</v>
      </c>
      <c r="F40" s="18">
        <f t="shared" si="3"/>
        <v>44.775090315540552</v>
      </c>
      <c r="G40" s="18">
        <f t="shared" si="4"/>
        <v>2004.8087127648134</v>
      </c>
    </row>
    <row r="41" spans="1:7">
      <c r="A41">
        <v>36</v>
      </c>
      <c r="B41">
        <v>304</v>
      </c>
      <c r="C41" s="18">
        <f t="shared" si="0"/>
        <v>286.36507883976969</v>
      </c>
      <c r="D41" s="18">
        <f t="shared" si="1"/>
        <v>5.3443979983669436</v>
      </c>
      <c r="E41" s="18">
        <f t="shared" si="2"/>
        <v>252.26951138512683</v>
      </c>
      <c r="F41" s="18">
        <f t="shared" si="3"/>
        <v>51.730488614873167</v>
      </c>
      <c r="G41" s="18">
        <f t="shared" si="4"/>
        <v>2676.0434523335225</v>
      </c>
    </row>
    <row r="42" spans="1:7">
      <c r="A42" s="4">
        <v>37</v>
      </c>
      <c r="B42" s="5">
        <f>C$41+(A42-A$41)*D$41</f>
        <v>291.70947683813665</v>
      </c>
      <c r="C42" s="21"/>
      <c r="D42" s="21"/>
      <c r="E42" s="21"/>
      <c r="F42" s="21"/>
      <c r="G42" s="21"/>
    </row>
    <row r="43" spans="1:7">
      <c r="A43" s="4">
        <v>38</v>
      </c>
      <c r="B43" s="5">
        <f t="shared" ref="B43:B53" si="5">C$41+(A43-A$41)*D$41</f>
        <v>297.05387483650361</v>
      </c>
      <c r="C43" s="21"/>
      <c r="D43" s="21"/>
      <c r="E43" s="21"/>
      <c r="F43" s="21"/>
      <c r="G43" s="21"/>
    </row>
    <row r="44" spans="1:7">
      <c r="A44" s="4">
        <v>39</v>
      </c>
      <c r="B44" s="5">
        <f t="shared" si="5"/>
        <v>302.39827283487051</v>
      </c>
      <c r="C44" s="21"/>
      <c r="D44" s="21"/>
      <c r="E44" s="21"/>
      <c r="F44" s="21"/>
      <c r="G44" s="21"/>
    </row>
    <row r="45" spans="1:7">
      <c r="A45" s="4">
        <v>40</v>
      </c>
      <c r="B45" s="5">
        <f t="shared" si="5"/>
        <v>307.74267083323747</v>
      </c>
      <c r="C45" s="21"/>
      <c r="D45" s="21"/>
      <c r="E45" s="21"/>
      <c r="F45" s="21"/>
      <c r="G45" s="21"/>
    </row>
    <row r="46" spans="1:7">
      <c r="A46" s="4">
        <v>41</v>
      </c>
      <c r="B46" s="5">
        <f t="shared" si="5"/>
        <v>313.08706883160443</v>
      </c>
      <c r="C46" s="21"/>
      <c r="D46" s="21"/>
      <c r="E46" s="21"/>
      <c r="F46" s="21"/>
      <c r="G46" s="21"/>
    </row>
    <row r="47" spans="1:7">
      <c r="A47" s="4">
        <v>42</v>
      </c>
      <c r="B47" s="5">
        <f t="shared" si="5"/>
        <v>318.43146682997133</v>
      </c>
      <c r="C47" s="21"/>
      <c r="D47" s="21"/>
      <c r="E47" s="21"/>
      <c r="F47" s="21"/>
      <c r="G47" s="21"/>
    </row>
    <row r="48" spans="1:7">
      <c r="A48" s="4">
        <v>43</v>
      </c>
      <c r="B48" s="5">
        <f t="shared" si="5"/>
        <v>323.77586482833829</v>
      </c>
      <c r="C48" s="21"/>
      <c r="D48" s="21"/>
      <c r="E48" s="21"/>
      <c r="F48" s="21"/>
      <c r="G48" s="21"/>
    </row>
    <row r="49" spans="1:7">
      <c r="A49" s="4">
        <v>44</v>
      </c>
      <c r="B49" s="5">
        <f t="shared" si="5"/>
        <v>329.12026282670524</v>
      </c>
      <c r="C49" s="21"/>
      <c r="D49" s="21"/>
      <c r="E49" s="21"/>
      <c r="F49" s="21"/>
      <c r="G49" s="21"/>
    </row>
    <row r="50" spans="1:7">
      <c r="A50" s="4">
        <v>45</v>
      </c>
      <c r="B50" s="5">
        <f t="shared" si="5"/>
        <v>334.4646608250722</v>
      </c>
      <c r="C50" s="21"/>
      <c r="D50" s="21"/>
      <c r="E50" s="21"/>
      <c r="F50" s="21"/>
      <c r="G50" s="21"/>
    </row>
    <row r="51" spans="1:7">
      <c r="A51" s="4">
        <v>46</v>
      </c>
      <c r="B51" s="5">
        <f t="shared" si="5"/>
        <v>339.80905882343916</v>
      </c>
      <c r="C51" s="21"/>
      <c r="D51" s="21"/>
      <c r="E51" s="21"/>
      <c r="F51" s="21"/>
      <c r="G51" s="21"/>
    </row>
    <row r="52" spans="1:7">
      <c r="A52" s="4">
        <v>47</v>
      </c>
      <c r="B52" s="5">
        <f t="shared" si="5"/>
        <v>345.15345682180606</v>
      </c>
      <c r="C52" s="21"/>
      <c r="D52" s="21"/>
      <c r="E52" s="21"/>
      <c r="F52" s="21"/>
      <c r="G52" s="21"/>
    </row>
    <row r="53" spans="1:7">
      <c r="A53" s="4">
        <v>48</v>
      </c>
      <c r="B53" s="5">
        <f t="shared" si="5"/>
        <v>350.49785482017302</v>
      </c>
      <c r="C53" s="21"/>
      <c r="D53" s="21"/>
      <c r="E53" s="21"/>
      <c r="F53" s="21"/>
      <c r="G53" s="2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"/>
  <sheetViews>
    <sheetView topLeftCell="A17" workbookViewId="0">
      <selection activeCell="D41" sqref="D41"/>
    </sheetView>
  </sheetViews>
  <sheetFormatPr baseColWidth="10" defaultRowHeight="15" x14ac:dyDescent="0"/>
  <cols>
    <col min="2" max="2" width="14.83203125" customWidth="1"/>
  </cols>
  <sheetData>
    <row r="1" spans="1:15">
      <c r="A1" s="1" t="s">
        <v>1</v>
      </c>
      <c r="B1" t="s">
        <v>6</v>
      </c>
      <c r="C1" t="s">
        <v>43</v>
      </c>
      <c r="D1">
        <v>1</v>
      </c>
      <c r="E1">
        <v>2</v>
      </c>
    </row>
    <row r="2" spans="1:15">
      <c r="A2">
        <v>1</v>
      </c>
      <c r="B2">
        <v>8.2830999999999904</v>
      </c>
      <c r="C2">
        <f>B2-B$38</f>
        <v>4.7066950650357029</v>
      </c>
    </row>
    <row r="3" spans="1:15">
      <c r="A3">
        <v>2</v>
      </c>
      <c r="B3">
        <v>7.6968209157435297</v>
      </c>
      <c r="C3">
        <f t="shared" ref="C3:C37" si="0">B3-B$38</f>
        <v>4.1204159807792422</v>
      </c>
      <c r="D3">
        <f>C2</f>
        <v>4.7066950650357029</v>
      </c>
      <c r="E3">
        <f>D2</f>
        <v>0</v>
      </c>
      <c r="F3">
        <f t="shared" ref="F3:O3" si="1">E2</f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5">
      <c r="A4">
        <v>3</v>
      </c>
      <c r="B4">
        <v>-22.77250372660248</v>
      </c>
      <c r="C4">
        <f t="shared" si="0"/>
        <v>-26.348908661566767</v>
      </c>
      <c r="D4">
        <f>C3</f>
        <v>4.1204159807792422</v>
      </c>
      <c r="E4">
        <f>D3</f>
        <v>4.7066950650357029</v>
      </c>
      <c r="F4">
        <f>E3</f>
        <v>0</v>
      </c>
      <c r="G4">
        <f t="shared" ref="G4:O19" si="2">F3</f>
        <v>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  <c r="N4">
        <f t="shared" si="2"/>
        <v>0</v>
      </c>
      <c r="O4">
        <f t="shared" si="2"/>
        <v>0</v>
      </c>
    </row>
    <row r="5" spans="1:15">
      <c r="A5">
        <v>4</v>
      </c>
      <c r="B5">
        <v>-12.362240286876556</v>
      </c>
      <c r="C5">
        <f t="shared" si="0"/>
        <v>-15.938645221840844</v>
      </c>
      <c r="D5">
        <f>C4</f>
        <v>-26.348908661566767</v>
      </c>
      <c r="E5">
        <f>D4</f>
        <v>4.1204159807792422</v>
      </c>
      <c r="F5">
        <f>E4</f>
        <v>4.7066950650357029</v>
      </c>
      <c r="G5">
        <f t="shared" si="2"/>
        <v>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>
        <f t="shared" si="2"/>
        <v>0</v>
      </c>
      <c r="N5">
        <f t="shared" si="2"/>
        <v>0</v>
      </c>
      <c r="O5">
        <f t="shared" si="2"/>
        <v>0</v>
      </c>
    </row>
    <row r="6" spans="1:15">
      <c r="A6">
        <v>5</v>
      </c>
      <c r="B6">
        <v>16.619414332807878</v>
      </c>
      <c r="C6">
        <f t="shared" si="0"/>
        <v>13.043009397843591</v>
      </c>
      <c r="D6">
        <f>C5</f>
        <v>-15.938645221840844</v>
      </c>
      <c r="E6">
        <f>D5</f>
        <v>-26.348908661566767</v>
      </c>
      <c r="F6">
        <f>E5</f>
        <v>4.1204159807792422</v>
      </c>
      <c r="G6">
        <f t="shared" si="2"/>
        <v>4.7066950650357029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>
        <f t="shared" si="2"/>
        <v>0</v>
      </c>
      <c r="N6">
        <f t="shared" si="2"/>
        <v>0</v>
      </c>
      <c r="O6">
        <f t="shared" si="2"/>
        <v>0</v>
      </c>
    </row>
    <row r="7" spans="1:15">
      <c r="A7">
        <v>6</v>
      </c>
      <c r="B7">
        <v>0.91742105697352372</v>
      </c>
      <c r="C7">
        <f t="shared" si="0"/>
        <v>-2.6589838779907637</v>
      </c>
      <c r="D7">
        <f>C6</f>
        <v>13.043009397843591</v>
      </c>
      <c r="E7">
        <f>D6</f>
        <v>-15.938645221840844</v>
      </c>
      <c r="F7">
        <f>E6</f>
        <v>-26.348908661566767</v>
      </c>
      <c r="G7">
        <f t="shared" si="2"/>
        <v>4.1204159807792422</v>
      </c>
      <c r="H7">
        <f t="shared" si="2"/>
        <v>4.7066950650357029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>
        <f t="shared" si="2"/>
        <v>0</v>
      </c>
      <c r="N7">
        <f t="shared" si="2"/>
        <v>0</v>
      </c>
      <c r="O7">
        <f t="shared" si="2"/>
        <v>0</v>
      </c>
    </row>
    <row r="8" spans="1:15">
      <c r="A8">
        <v>7</v>
      </c>
      <c r="B8">
        <v>-8.4675062052977808</v>
      </c>
      <c r="C8">
        <f t="shared" si="0"/>
        <v>-12.043911140262068</v>
      </c>
      <c r="D8">
        <f>C7</f>
        <v>-2.6589838779907637</v>
      </c>
      <c r="E8">
        <f>D7</f>
        <v>13.043009397843591</v>
      </c>
      <c r="F8">
        <f>E7</f>
        <v>-15.938645221840844</v>
      </c>
      <c r="G8">
        <f t="shared" si="2"/>
        <v>-26.348908661566767</v>
      </c>
      <c r="H8">
        <f t="shared" si="2"/>
        <v>4.1204159807792422</v>
      </c>
      <c r="I8">
        <f t="shared" si="2"/>
        <v>4.7066950650357029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0</v>
      </c>
      <c r="N8">
        <f t="shared" si="2"/>
        <v>0</v>
      </c>
      <c r="O8">
        <f t="shared" si="2"/>
        <v>0</v>
      </c>
    </row>
    <row r="9" spans="1:15">
      <c r="A9">
        <v>8</v>
      </c>
      <c r="B9">
        <v>-5.3703840077441782</v>
      </c>
      <c r="C9">
        <f t="shared" si="0"/>
        <v>-8.9467889427084657</v>
      </c>
      <c r="D9">
        <f>C8</f>
        <v>-12.043911140262068</v>
      </c>
      <c r="E9">
        <f>D8</f>
        <v>-2.6589838779907637</v>
      </c>
      <c r="F9">
        <f>E8</f>
        <v>13.043009397843591</v>
      </c>
      <c r="G9">
        <f t="shared" si="2"/>
        <v>-15.938645221840844</v>
      </c>
      <c r="H9">
        <f t="shared" si="2"/>
        <v>-26.348908661566767</v>
      </c>
      <c r="I9">
        <f t="shared" si="2"/>
        <v>4.1204159807792422</v>
      </c>
      <c r="J9">
        <f t="shared" si="2"/>
        <v>4.7066950650357029</v>
      </c>
      <c r="K9">
        <f t="shared" si="2"/>
        <v>0</v>
      </c>
      <c r="L9">
        <f t="shared" si="2"/>
        <v>0</v>
      </c>
      <c r="M9">
        <f t="shared" si="2"/>
        <v>0</v>
      </c>
      <c r="N9">
        <f t="shared" si="2"/>
        <v>0</v>
      </c>
      <c r="O9">
        <f t="shared" si="2"/>
        <v>0</v>
      </c>
    </row>
    <row r="10" spans="1:15">
      <c r="A10">
        <v>9</v>
      </c>
      <c r="B10">
        <v>6.873439458069754</v>
      </c>
      <c r="C10">
        <f t="shared" si="0"/>
        <v>3.2970345231054665</v>
      </c>
      <c r="D10">
        <f>C9</f>
        <v>-8.9467889427084657</v>
      </c>
      <c r="E10">
        <f>D9</f>
        <v>-12.043911140262068</v>
      </c>
      <c r="F10">
        <f>E9</f>
        <v>-2.6589838779907637</v>
      </c>
      <c r="G10">
        <f t="shared" si="2"/>
        <v>13.043009397843591</v>
      </c>
      <c r="H10">
        <f t="shared" si="2"/>
        <v>-15.938645221840844</v>
      </c>
      <c r="I10">
        <f t="shared" si="2"/>
        <v>-26.348908661566767</v>
      </c>
      <c r="J10">
        <f t="shared" si="2"/>
        <v>4.1204159807792422</v>
      </c>
      <c r="K10">
        <f t="shared" si="2"/>
        <v>4.7066950650357029</v>
      </c>
      <c r="L10">
        <f t="shared" si="2"/>
        <v>0</v>
      </c>
      <c r="M10">
        <f t="shared" si="2"/>
        <v>0</v>
      </c>
      <c r="N10">
        <f t="shared" si="2"/>
        <v>0</v>
      </c>
      <c r="O10">
        <f t="shared" si="2"/>
        <v>0</v>
      </c>
    </row>
    <row r="11" spans="1:15">
      <c r="A11">
        <v>10</v>
      </c>
      <c r="B11">
        <v>11.8067223805499</v>
      </c>
      <c r="C11">
        <f t="shared" si="0"/>
        <v>8.2303174455856123</v>
      </c>
      <c r="D11">
        <f>C10</f>
        <v>3.2970345231054665</v>
      </c>
      <c r="E11">
        <f>D10</f>
        <v>-8.9467889427084657</v>
      </c>
      <c r="F11">
        <f>E10</f>
        <v>-12.043911140262068</v>
      </c>
      <c r="G11">
        <f t="shared" si="2"/>
        <v>-2.6589838779907637</v>
      </c>
      <c r="H11">
        <f t="shared" si="2"/>
        <v>13.043009397843591</v>
      </c>
      <c r="I11">
        <f t="shared" si="2"/>
        <v>-15.938645221840844</v>
      </c>
      <c r="J11">
        <f t="shared" si="2"/>
        <v>-26.348908661566767</v>
      </c>
      <c r="K11">
        <f t="shared" si="2"/>
        <v>4.1204159807792422</v>
      </c>
      <c r="L11">
        <f t="shared" si="2"/>
        <v>4.7066950650357029</v>
      </c>
      <c r="M11">
        <f t="shared" si="2"/>
        <v>0</v>
      </c>
      <c r="N11">
        <f t="shared" si="2"/>
        <v>0</v>
      </c>
      <c r="O11">
        <f t="shared" si="2"/>
        <v>0</v>
      </c>
    </row>
    <row r="12" spans="1:15">
      <c r="A12">
        <v>11</v>
      </c>
      <c r="B12">
        <v>7.0751304255475418</v>
      </c>
      <c r="C12">
        <f t="shared" si="0"/>
        <v>3.4987254905832543</v>
      </c>
      <c r="D12">
        <f>C11</f>
        <v>8.2303174455856123</v>
      </c>
      <c r="E12">
        <f>D11</f>
        <v>3.2970345231054665</v>
      </c>
      <c r="F12">
        <f>E11</f>
        <v>-8.9467889427084657</v>
      </c>
      <c r="G12">
        <f t="shared" si="2"/>
        <v>-12.043911140262068</v>
      </c>
      <c r="H12">
        <f t="shared" si="2"/>
        <v>-2.6589838779907637</v>
      </c>
      <c r="I12">
        <f t="shared" si="2"/>
        <v>13.043009397843591</v>
      </c>
      <c r="J12">
        <f t="shared" si="2"/>
        <v>-15.938645221840844</v>
      </c>
      <c r="K12">
        <f t="shared" si="2"/>
        <v>-26.348908661566767</v>
      </c>
      <c r="L12">
        <f t="shared" si="2"/>
        <v>4.1204159807792422</v>
      </c>
      <c r="M12">
        <f t="shared" si="2"/>
        <v>4.7066950650357029</v>
      </c>
      <c r="N12">
        <f t="shared" si="2"/>
        <v>0</v>
      </c>
      <c r="O12">
        <f t="shared" si="2"/>
        <v>0</v>
      </c>
    </row>
    <row r="13" spans="1:15">
      <c r="A13">
        <v>12</v>
      </c>
      <c r="B13">
        <v>31.214433914239578</v>
      </c>
      <c r="C13">
        <f t="shared" si="0"/>
        <v>27.63802897927529</v>
      </c>
      <c r="D13">
        <f>C12</f>
        <v>3.4987254905832543</v>
      </c>
      <c r="E13">
        <f>D12</f>
        <v>8.2303174455856123</v>
      </c>
      <c r="F13">
        <f>E12</f>
        <v>3.2970345231054665</v>
      </c>
      <c r="G13">
        <f t="shared" si="2"/>
        <v>-8.9467889427084657</v>
      </c>
      <c r="H13">
        <f t="shared" si="2"/>
        <v>-12.043911140262068</v>
      </c>
      <c r="I13">
        <f t="shared" si="2"/>
        <v>-2.6589838779907637</v>
      </c>
      <c r="J13">
        <f t="shared" si="2"/>
        <v>13.043009397843591</v>
      </c>
      <c r="K13">
        <f t="shared" si="2"/>
        <v>-15.938645221840844</v>
      </c>
      <c r="L13">
        <f t="shared" si="2"/>
        <v>-26.348908661566767</v>
      </c>
      <c r="M13">
        <f t="shared" si="2"/>
        <v>4.1204159807792422</v>
      </c>
      <c r="N13">
        <f t="shared" si="2"/>
        <v>4.7066950650357029</v>
      </c>
      <c r="O13">
        <f t="shared" si="2"/>
        <v>0</v>
      </c>
    </row>
    <row r="14" spans="1:15">
      <c r="A14">
        <v>13</v>
      </c>
      <c r="B14">
        <v>-25.649281501824333</v>
      </c>
      <c r="C14">
        <f t="shared" si="0"/>
        <v>-29.225686436788621</v>
      </c>
      <c r="D14">
        <f>C13</f>
        <v>27.63802897927529</v>
      </c>
      <c r="E14">
        <f>D13</f>
        <v>3.4987254905832543</v>
      </c>
      <c r="F14">
        <f>E13</f>
        <v>8.2303174455856123</v>
      </c>
      <c r="G14">
        <f t="shared" si="2"/>
        <v>3.2970345231054665</v>
      </c>
      <c r="H14">
        <f t="shared" si="2"/>
        <v>-8.9467889427084657</v>
      </c>
      <c r="I14">
        <f t="shared" si="2"/>
        <v>-12.043911140262068</v>
      </c>
      <c r="J14">
        <f t="shared" si="2"/>
        <v>-2.6589838779907637</v>
      </c>
      <c r="K14">
        <f t="shared" si="2"/>
        <v>13.043009397843591</v>
      </c>
      <c r="L14">
        <f t="shared" si="2"/>
        <v>-15.938645221840844</v>
      </c>
      <c r="M14">
        <f t="shared" si="2"/>
        <v>-26.348908661566767</v>
      </c>
      <c r="N14">
        <f t="shared" si="2"/>
        <v>4.1204159807792422</v>
      </c>
      <c r="O14">
        <f t="shared" si="2"/>
        <v>4.7066950650357029</v>
      </c>
    </row>
    <row r="15" spans="1:15">
      <c r="A15">
        <v>14</v>
      </c>
      <c r="B15">
        <v>-13.136149992515385</v>
      </c>
      <c r="C15">
        <f t="shared" si="0"/>
        <v>-16.712554927479673</v>
      </c>
      <c r="D15">
        <f>C14</f>
        <v>-29.225686436788621</v>
      </c>
      <c r="E15">
        <f>D14</f>
        <v>27.63802897927529</v>
      </c>
      <c r="F15">
        <f>E14</f>
        <v>3.4987254905832543</v>
      </c>
      <c r="G15">
        <f t="shared" si="2"/>
        <v>8.2303174455856123</v>
      </c>
      <c r="H15">
        <f t="shared" si="2"/>
        <v>3.2970345231054665</v>
      </c>
      <c r="I15">
        <f t="shared" si="2"/>
        <v>-8.9467889427084657</v>
      </c>
      <c r="J15">
        <f t="shared" si="2"/>
        <v>-12.043911140262068</v>
      </c>
      <c r="K15">
        <f t="shared" si="2"/>
        <v>-2.6589838779907637</v>
      </c>
      <c r="L15">
        <f t="shared" si="2"/>
        <v>13.043009397843591</v>
      </c>
      <c r="M15">
        <f t="shared" si="2"/>
        <v>-15.938645221840844</v>
      </c>
      <c r="N15">
        <f t="shared" si="2"/>
        <v>-26.348908661566767</v>
      </c>
      <c r="O15">
        <f t="shared" si="2"/>
        <v>4.1204159807792422</v>
      </c>
    </row>
    <row r="16" spans="1:15">
      <c r="A16">
        <v>15</v>
      </c>
      <c r="B16">
        <v>-9.4105335260306617</v>
      </c>
      <c r="C16">
        <f t="shared" si="0"/>
        <v>-12.986938460994949</v>
      </c>
      <c r="D16">
        <f>C15</f>
        <v>-16.712554927479673</v>
      </c>
      <c r="E16">
        <f>D15</f>
        <v>-29.225686436788621</v>
      </c>
      <c r="F16">
        <f>E15</f>
        <v>27.63802897927529</v>
      </c>
      <c r="G16">
        <f t="shared" si="2"/>
        <v>3.4987254905832543</v>
      </c>
      <c r="H16">
        <f t="shared" si="2"/>
        <v>8.2303174455856123</v>
      </c>
      <c r="I16">
        <f t="shared" si="2"/>
        <v>3.2970345231054665</v>
      </c>
      <c r="J16">
        <f t="shared" si="2"/>
        <v>-8.9467889427084657</v>
      </c>
      <c r="K16">
        <f t="shared" si="2"/>
        <v>-12.043911140262068</v>
      </c>
      <c r="L16">
        <f t="shared" si="2"/>
        <v>-2.6589838779907637</v>
      </c>
      <c r="M16">
        <f t="shared" si="2"/>
        <v>13.043009397843591</v>
      </c>
      <c r="N16">
        <f t="shared" si="2"/>
        <v>-15.938645221840844</v>
      </c>
      <c r="O16">
        <f t="shared" si="2"/>
        <v>-26.348908661566767</v>
      </c>
    </row>
    <row r="17" spans="1:15">
      <c r="A17">
        <v>16</v>
      </c>
      <c r="B17">
        <v>-18.811012632730552</v>
      </c>
      <c r="C17">
        <f t="shared" si="0"/>
        <v>-22.38741756769484</v>
      </c>
      <c r="D17">
        <f>C16</f>
        <v>-12.986938460994949</v>
      </c>
      <c r="E17">
        <f>D16</f>
        <v>-16.712554927479673</v>
      </c>
      <c r="F17">
        <f>E16</f>
        <v>-29.225686436788621</v>
      </c>
      <c r="G17">
        <f t="shared" si="2"/>
        <v>27.63802897927529</v>
      </c>
      <c r="H17">
        <f t="shared" si="2"/>
        <v>3.4987254905832543</v>
      </c>
      <c r="I17">
        <f t="shared" si="2"/>
        <v>8.2303174455856123</v>
      </c>
      <c r="J17">
        <f t="shared" si="2"/>
        <v>3.2970345231054665</v>
      </c>
      <c r="K17">
        <f t="shared" si="2"/>
        <v>-8.9467889427084657</v>
      </c>
      <c r="L17">
        <f t="shared" si="2"/>
        <v>-12.043911140262068</v>
      </c>
      <c r="M17">
        <f t="shared" si="2"/>
        <v>-2.6589838779907637</v>
      </c>
      <c r="N17">
        <f t="shared" si="2"/>
        <v>13.043009397843591</v>
      </c>
      <c r="O17">
        <f t="shared" si="2"/>
        <v>-15.938645221840844</v>
      </c>
    </row>
    <row r="18" spans="1:15">
      <c r="A18">
        <v>17</v>
      </c>
      <c r="B18">
        <v>34.642929303608184</v>
      </c>
      <c r="C18">
        <f t="shared" si="0"/>
        <v>31.066524368643897</v>
      </c>
      <c r="D18">
        <f>C17</f>
        <v>-22.38741756769484</v>
      </c>
      <c r="E18">
        <f>D17</f>
        <v>-12.986938460994949</v>
      </c>
      <c r="F18">
        <f>E17</f>
        <v>-16.712554927479673</v>
      </c>
      <c r="G18">
        <f t="shared" si="2"/>
        <v>-29.225686436788621</v>
      </c>
      <c r="H18">
        <f t="shared" si="2"/>
        <v>27.63802897927529</v>
      </c>
      <c r="I18">
        <f t="shared" si="2"/>
        <v>3.4987254905832543</v>
      </c>
      <c r="J18">
        <f t="shared" si="2"/>
        <v>8.2303174455856123</v>
      </c>
      <c r="K18">
        <f t="shared" si="2"/>
        <v>3.2970345231054665</v>
      </c>
      <c r="L18">
        <f t="shared" si="2"/>
        <v>-8.9467889427084657</v>
      </c>
      <c r="M18">
        <f t="shared" si="2"/>
        <v>-12.043911140262068</v>
      </c>
      <c r="N18">
        <f t="shared" si="2"/>
        <v>-2.6589838779907637</v>
      </c>
      <c r="O18">
        <f t="shared" si="2"/>
        <v>13.043009397843591</v>
      </c>
    </row>
    <row r="19" spans="1:15">
      <c r="A19">
        <v>18</v>
      </c>
      <c r="B19">
        <v>-16.347457263701472</v>
      </c>
      <c r="C19">
        <f t="shared" si="0"/>
        <v>-19.923862198665759</v>
      </c>
      <c r="D19">
        <f>C18</f>
        <v>31.066524368643897</v>
      </c>
      <c r="E19">
        <f>D18</f>
        <v>-22.38741756769484</v>
      </c>
      <c r="F19">
        <f>E18</f>
        <v>-12.986938460994949</v>
      </c>
      <c r="G19">
        <f t="shared" si="2"/>
        <v>-16.712554927479673</v>
      </c>
      <c r="H19">
        <f t="shared" si="2"/>
        <v>-29.225686436788621</v>
      </c>
      <c r="I19">
        <f t="shared" si="2"/>
        <v>27.63802897927529</v>
      </c>
      <c r="J19">
        <f t="shared" si="2"/>
        <v>3.4987254905832543</v>
      </c>
      <c r="K19">
        <f t="shared" si="2"/>
        <v>8.2303174455856123</v>
      </c>
      <c r="L19">
        <f t="shared" si="2"/>
        <v>3.2970345231054665</v>
      </c>
      <c r="M19">
        <f t="shared" si="2"/>
        <v>-8.9467889427084657</v>
      </c>
      <c r="N19">
        <f t="shared" si="2"/>
        <v>-12.043911140262068</v>
      </c>
      <c r="O19">
        <f t="shared" si="2"/>
        <v>-2.6589838779907637</v>
      </c>
    </row>
    <row r="20" spans="1:15">
      <c r="A20">
        <v>19</v>
      </c>
      <c r="B20">
        <v>-5.1577607749150047</v>
      </c>
      <c r="C20">
        <f t="shared" si="0"/>
        <v>-8.7341657098792922</v>
      </c>
      <c r="D20">
        <f>C19</f>
        <v>-19.923862198665759</v>
      </c>
      <c r="E20">
        <f>D19</f>
        <v>31.066524368643897</v>
      </c>
      <c r="F20">
        <f>E19</f>
        <v>-22.38741756769484</v>
      </c>
      <c r="G20">
        <f t="shared" ref="G20:O35" si="3">F19</f>
        <v>-12.986938460994949</v>
      </c>
      <c r="H20">
        <f t="shared" si="3"/>
        <v>-16.712554927479673</v>
      </c>
      <c r="I20">
        <f t="shared" si="3"/>
        <v>-29.225686436788621</v>
      </c>
      <c r="J20">
        <f t="shared" si="3"/>
        <v>27.63802897927529</v>
      </c>
      <c r="K20">
        <f t="shared" si="3"/>
        <v>3.4987254905832543</v>
      </c>
      <c r="L20">
        <f t="shared" si="3"/>
        <v>8.2303174455856123</v>
      </c>
      <c r="M20">
        <f t="shared" si="3"/>
        <v>3.2970345231054665</v>
      </c>
      <c r="N20">
        <f t="shared" si="3"/>
        <v>-8.9467889427084657</v>
      </c>
      <c r="O20">
        <f t="shared" si="3"/>
        <v>-12.043911140262068</v>
      </c>
    </row>
    <row r="21" spans="1:15">
      <c r="A21">
        <v>20</v>
      </c>
      <c r="B21">
        <v>4.8373770492399899</v>
      </c>
      <c r="C21">
        <f t="shared" si="0"/>
        <v>1.2609721142757024</v>
      </c>
      <c r="D21">
        <f>C20</f>
        <v>-8.7341657098792922</v>
      </c>
      <c r="E21">
        <f>D20</f>
        <v>-19.923862198665759</v>
      </c>
      <c r="F21">
        <f>E20</f>
        <v>31.066524368643897</v>
      </c>
      <c r="G21">
        <f t="shared" si="3"/>
        <v>-22.38741756769484</v>
      </c>
      <c r="H21">
        <f t="shared" si="3"/>
        <v>-12.986938460994949</v>
      </c>
      <c r="I21">
        <f t="shared" si="3"/>
        <v>-16.712554927479673</v>
      </c>
      <c r="J21">
        <f t="shared" si="3"/>
        <v>-29.225686436788621</v>
      </c>
      <c r="K21">
        <f t="shared" si="3"/>
        <v>27.63802897927529</v>
      </c>
      <c r="L21">
        <f t="shared" si="3"/>
        <v>3.4987254905832543</v>
      </c>
      <c r="M21">
        <f t="shared" si="3"/>
        <v>8.2303174455856123</v>
      </c>
      <c r="N21">
        <f t="shared" si="3"/>
        <v>3.2970345231054665</v>
      </c>
      <c r="O21">
        <f t="shared" si="3"/>
        <v>-8.9467889427084657</v>
      </c>
    </row>
    <row r="22" spans="1:15">
      <c r="A22">
        <v>21</v>
      </c>
      <c r="B22">
        <v>17.075364741612049</v>
      </c>
      <c r="C22">
        <f t="shared" si="0"/>
        <v>13.498959806647761</v>
      </c>
      <c r="D22">
        <f>C21</f>
        <v>1.2609721142757024</v>
      </c>
      <c r="E22">
        <f>D21</f>
        <v>-8.7341657098792922</v>
      </c>
      <c r="F22">
        <f>E21</f>
        <v>-19.923862198665759</v>
      </c>
      <c r="G22">
        <f t="shared" si="3"/>
        <v>31.066524368643897</v>
      </c>
      <c r="H22">
        <f t="shared" si="3"/>
        <v>-22.38741756769484</v>
      </c>
      <c r="I22">
        <f t="shared" si="3"/>
        <v>-12.986938460994949</v>
      </c>
      <c r="J22">
        <f t="shared" si="3"/>
        <v>-16.712554927479673</v>
      </c>
      <c r="K22">
        <f t="shared" si="3"/>
        <v>-29.225686436788621</v>
      </c>
      <c r="L22">
        <f t="shared" si="3"/>
        <v>27.63802897927529</v>
      </c>
      <c r="M22">
        <f t="shared" si="3"/>
        <v>3.4987254905832543</v>
      </c>
      <c r="N22">
        <f t="shared" si="3"/>
        <v>8.2303174455856123</v>
      </c>
      <c r="O22">
        <f t="shared" si="3"/>
        <v>3.2970345231054665</v>
      </c>
    </row>
    <row r="23" spans="1:15">
      <c r="A23">
        <v>22</v>
      </c>
      <c r="B23">
        <v>7.6494935775411079</v>
      </c>
      <c r="C23">
        <f t="shared" si="0"/>
        <v>4.0730886425768205</v>
      </c>
      <c r="D23">
        <f>C22</f>
        <v>13.498959806647761</v>
      </c>
      <c r="E23">
        <f>D22</f>
        <v>1.2609721142757024</v>
      </c>
      <c r="F23">
        <f>E22</f>
        <v>-8.7341657098792922</v>
      </c>
      <c r="G23">
        <f t="shared" si="3"/>
        <v>-19.923862198665759</v>
      </c>
      <c r="H23">
        <f t="shared" si="3"/>
        <v>31.066524368643897</v>
      </c>
      <c r="I23">
        <f t="shared" si="3"/>
        <v>-22.38741756769484</v>
      </c>
      <c r="J23">
        <f t="shared" si="3"/>
        <v>-12.986938460994949</v>
      </c>
      <c r="K23">
        <f t="shared" si="3"/>
        <v>-16.712554927479673</v>
      </c>
      <c r="L23">
        <f t="shared" si="3"/>
        <v>-29.225686436788621</v>
      </c>
      <c r="M23">
        <f t="shared" si="3"/>
        <v>27.63802897927529</v>
      </c>
      <c r="N23">
        <f t="shared" si="3"/>
        <v>3.4987254905832543</v>
      </c>
      <c r="O23">
        <f t="shared" si="3"/>
        <v>8.2303174455856123</v>
      </c>
    </row>
    <row r="24" spans="1:15">
      <c r="A24">
        <v>23</v>
      </c>
      <c r="B24">
        <v>13.168409314915209</v>
      </c>
      <c r="C24">
        <f t="shared" si="0"/>
        <v>9.5920043799509216</v>
      </c>
      <c r="D24">
        <f>C23</f>
        <v>4.0730886425768205</v>
      </c>
      <c r="E24">
        <f>D23</f>
        <v>13.498959806647761</v>
      </c>
      <c r="F24">
        <f>E23</f>
        <v>1.2609721142757024</v>
      </c>
      <c r="G24">
        <f t="shared" si="3"/>
        <v>-8.7341657098792922</v>
      </c>
      <c r="H24">
        <f t="shared" si="3"/>
        <v>-19.923862198665759</v>
      </c>
      <c r="I24">
        <f t="shared" si="3"/>
        <v>31.066524368643897</v>
      </c>
      <c r="J24">
        <f t="shared" si="3"/>
        <v>-22.38741756769484</v>
      </c>
      <c r="K24">
        <f t="shared" si="3"/>
        <v>-12.986938460994949</v>
      </c>
      <c r="L24">
        <f t="shared" si="3"/>
        <v>-16.712554927479673</v>
      </c>
      <c r="M24">
        <f t="shared" si="3"/>
        <v>-29.225686436788621</v>
      </c>
      <c r="N24">
        <f t="shared" si="3"/>
        <v>27.63802897927529</v>
      </c>
      <c r="O24">
        <f t="shared" si="3"/>
        <v>3.4987254905832543</v>
      </c>
    </row>
    <row r="25" spans="1:15">
      <c r="A25">
        <v>24</v>
      </c>
      <c r="B25">
        <v>31.58878753133709</v>
      </c>
      <c r="C25">
        <f t="shared" si="0"/>
        <v>28.012382596372802</v>
      </c>
      <c r="D25">
        <f>C24</f>
        <v>9.5920043799509216</v>
      </c>
      <c r="E25">
        <f>D24</f>
        <v>4.0730886425768205</v>
      </c>
      <c r="F25">
        <f>E24</f>
        <v>13.498959806647761</v>
      </c>
      <c r="G25">
        <f t="shared" si="3"/>
        <v>1.2609721142757024</v>
      </c>
      <c r="H25">
        <f t="shared" si="3"/>
        <v>-8.7341657098792922</v>
      </c>
      <c r="I25">
        <f t="shared" si="3"/>
        <v>-19.923862198665759</v>
      </c>
      <c r="J25">
        <f t="shared" si="3"/>
        <v>31.066524368643897</v>
      </c>
      <c r="K25">
        <f t="shared" si="3"/>
        <v>-22.38741756769484</v>
      </c>
      <c r="L25">
        <f t="shared" si="3"/>
        <v>-12.986938460994949</v>
      </c>
      <c r="M25">
        <f t="shared" si="3"/>
        <v>-16.712554927479673</v>
      </c>
      <c r="N25">
        <f t="shared" si="3"/>
        <v>-29.225686436788621</v>
      </c>
      <c r="O25">
        <f t="shared" si="3"/>
        <v>27.63802897927529</v>
      </c>
    </row>
    <row r="26" spans="1:15">
      <c r="A26">
        <v>25</v>
      </c>
      <c r="B26">
        <v>-32.237615190247169</v>
      </c>
      <c r="C26">
        <f t="shared" si="0"/>
        <v>-35.814020125211457</v>
      </c>
      <c r="D26">
        <f>C25</f>
        <v>28.012382596372802</v>
      </c>
      <c r="E26">
        <f>D25</f>
        <v>9.5920043799509216</v>
      </c>
      <c r="F26">
        <f>E25</f>
        <v>4.0730886425768205</v>
      </c>
      <c r="G26">
        <f t="shared" si="3"/>
        <v>13.498959806647761</v>
      </c>
      <c r="H26">
        <f t="shared" si="3"/>
        <v>1.2609721142757024</v>
      </c>
      <c r="I26">
        <f t="shared" si="3"/>
        <v>-8.7341657098792922</v>
      </c>
      <c r="J26">
        <f t="shared" si="3"/>
        <v>-19.923862198665759</v>
      </c>
      <c r="K26">
        <f t="shared" si="3"/>
        <v>31.066524368643897</v>
      </c>
      <c r="L26">
        <f t="shared" si="3"/>
        <v>-22.38741756769484</v>
      </c>
      <c r="M26">
        <f t="shared" si="3"/>
        <v>-12.986938460994949</v>
      </c>
      <c r="N26">
        <f t="shared" si="3"/>
        <v>-16.712554927479673</v>
      </c>
      <c r="O26">
        <f t="shared" si="3"/>
        <v>-29.225686436788621</v>
      </c>
    </row>
    <row r="27" spans="1:15">
      <c r="A27">
        <v>26</v>
      </c>
      <c r="B27">
        <v>16.13259104699614</v>
      </c>
      <c r="C27">
        <f t="shared" si="0"/>
        <v>12.556186112031853</v>
      </c>
      <c r="D27">
        <f>C26</f>
        <v>-35.814020125211457</v>
      </c>
      <c r="E27">
        <f>D26</f>
        <v>28.012382596372802</v>
      </c>
      <c r="F27">
        <f>E26</f>
        <v>9.5920043799509216</v>
      </c>
      <c r="G27">
        <f t="shared" si="3"/>
        <v>4.0730886425768205</v>
      </c>
      <c r="H27">
        <f t="shared" si="3"/>
        <v>13.498959806647761</v>
      </c>
      <c r="I27">
        <f t="shared" si="3"/>
        <v>1.2609721142757024</v>
      </c>
      <c r="J27">
        <f t="shared" si="3"/>
        <v>-8.7341657098792922</v>
      </c>
      <c r="K27">
        <f t="shared" si="3"/>
        <v>-19.923862198665759</v>
      </c>
      <c r="L27">
        <f t="shared" si="3"/>
        <v>31.066524368643897</v>
      </c>
      <c r="M27">
        <f t="shared" si="3"/>
        <v>-22.38741756769484</v>
      </c>
      <c r="N27">
        <f t="shared" si="3"/>
        <v>-12.986938460994949</v>
      </c>
      <c r="O27">
        <f t="shared" si="3"/>
        <v>-16.712554927479673</v>
      </c>
    </row>
    <row r="28" spans="1:15">
      <c r="A28">
        <v>27</v>
      </c>
      <c r="B28">
        <v>-29.942802427740247</v>
      </c>
      <c r="C28">
        <f t="shared" si="0"/>
        <v>-33.519207362704535</v>
      </c>
      <c r="D28">
        <f>C27</f>
        <v>12.556186112031853</v>
      </c>
      <c r="E28">
        <f>D27</f>
        <v>-35.814020125211457</v>
      </c>
      <c r="F28">
        <f>E27</f>
        <v>28.012382596372802</v>
      </c>
      <c r="G28">
        <f t="shared" si="3"/>
        <v>9.5920043799509216</v>
      </c>
      <c r="H28">
        <f t="shared" si="3"/>
        <v>4.0730886425768205</v>
      </c>
      <c r="I28">
        <f t="shared" si="3"/>
        <v>13.498959806647761</v>
      </c>
      <c r="J28">
        <f t="shared" si="3"/>
        <v>1.2609721142757024</v>
      </c>
      <c r="K28">
        <f t="shared" si="3"/>
        <v>-8.7341657098792922</v>
      </c>
      <c r="L28">
        <f t="shared" si="3"/>
        <v>-19.923862198665759</v>
      </c>
      <c r="M28">
        <f t="shared" si="3"/>
        <v>31.066524368643897</v>
      </c>
      <c r="N28">
        <f t="shared" si="3"/>
        <v>-22.38741756769484</v>
      </c>
      <c r="O28">
        <f t="shared" si="3"/>
        <v>-12.986938460994949</v>
      </c>
    </row>
    <row r="29" spans="1:15">
      <c r="A29">
        <v>28</v>
      </c>
      <c r="B29">
        <v>2.3983817049775382</v>
      </c>
      <c r="C29">
        <f t="shared" si="0"/>
        <v>-1.1780232299867492</v>
      </c>
      <c r="D29">
        <f>C28</f>
        <v>-33.519207362704535</v>
      </c>
      <c r="E29">
        <f>D28</f>
        <v>12.556186112031853</v>
      </c>
      <c r="F29">
        <f>E28</f>
        <v>-35.814020125211457</v>
      </c>
      <c r="G29">
        <f t="shared" si="3"/>
        <v>28.012382596372802</v>
      </c>
      <c r="H29">
        <f t="shared" si="3"/>
        <v>9.5920043799509216</v>
      </c>
      <c r="I29">
        <f t="shared" si="3"/>
        <v>4.0730886425768205</v>
      </c>
      <c r="J29">
        <f t="shared" si="3"/>
        <v>13.498959806647761</v>
      </c>
      <c r="K29">
        <f t="shared" si="3"/>
        <v>1.2609721142757024</v>
      </c>
      <c r="L29">
        <f t="shared" si="3"/>
        <v>-8.7341657098792922</v>
      </c>
      <c r="M29">
        <f t="shared" si="3"/>
        <v>-19.923862198665759</v>
      </c>
      <c r="N29">
        <f t="shared" si="3"/>
        <v>31.066524368643897</v>
      </c>
      <c r="O29">
        <f t="shared" si="3"/>
        <v>-22.38741756769484</v>
      </c>
    </row>
    <row r="30" spans="1:15">
      <c r="A30">
        <v>29</v>
      </c>
      <c r="B30">
        <v>10.339523639092306</v>
      </c>
      <c r="C30">
        <f t="shared" si="0"/>
        <v>6.7631187041280185</v>
      </c>
      <c r="D30">
        <f>C29</f>
        <v>-1.1780232299867492</v>
      </c>
      <c r="E30">
        <f>D29</f>
        <v>-33.519207362704535</v>
      </c>
      <c r="F30">
        <f>E29</f>
        <v>12.556186112031853</v>
      </c>
      <c r="G30">
        <f t="shared" si="3"/>
        <v>-35.814020125211457</v>
      </c>
      <c r="H30">
        <f t="shared" si="3"/>
        <v>28.012382596372802</v>
      </c>
      <c r="I30">
        <f t="shared" si="3"/>
        <v>9.5920043799509216</v>
      </c>
      <c r="J30">
        <f t="shared" si="3"/>
        <v>4.0730886425768205</v>
      </c>
      <c r="K30">
        <f t="shared" si="3"/>
        <v>13.498959806647761</v>
      </c>
      <c r="L30">
        <f t="shared" si="3"/>
        <v>1.2609721142757024</v>
      </c>
      <c r="M30">
        <f t="shared" si="3"/>
        <v>-8.7341657098792922</v>
      </c>
      <c r="N30">
        <f t="shared" si="3"/>
        <v>-19.923862198665759</v>
      </c>
      <c r="O30">
        <f t="shared" si="3"/>
        <v>31.066524368643897</v>
      </c>
    </row>
    <row r="31" spans="1:15">
      <c r="A31">
        <v>30</v>
      </c>
      <c r="B31">
        <v>-15.315323371563295</v>
      </c>
      <c r="C31">
        <f t="shared" si="0"/>
        <v>-18.891728306527583</v>
      </c>
      <c r="D31">
        <f>C30</f>
        <v>6.7631187041280185</v>
      </c>
      <c r="E31">
        <f>D30</f>
        <v>-1.1780232299867492</v>
      </c>
      <c r="F31">
        <f>E30</f>
        <v>-33.519207362704535</v>
      </c>
      <c r="G31">
        <f t="shared" si="3"/>
        <v>12.556186112031853</v>
      </c>
      <c r="H31">
        <f t="shared" si="3"/>
        <v>-35.814020125211457</v>
      </c>
      <c r="I31">
        <f t="shared" si="3"/>
        <v>28.012382596372802</v>
      </c>
      <c r="J31">
        <f t="shared" si="3"/>
        <v>9.5920043799509216</v>
      </c>
      <c r="K31">
        <f t="shared" si="3"/>
        <v>4.0730886425768205</v>
      </c>
      <c r="L31">
        <f t="shared" si="3"/>
        <v>13.498959806647761</v>
      </c>
      <c r="M31">
        <f t="shared" si="3"/>
        <v>1.2609721142757024</v>
      </c>
      <c r="N31">
        <f t="shared" si="3"/>
        <v>-8.7341657098792922</v>
      </c>
      <c r="O31">
        <f t="shared" si="3"/>
        <v>-19.923862198665759</v>
      </c>
    </row>
    <row r="32" spans="1:15">
      <c r="A32">
        <v>31</v>
      </c>
      <c r="B32">
        <v>11.475122843687387</v>
      </c>
      <c r="C32">
        <f t="shared" si="0"/>
        <v>7.8987179087230999</v>
      </c>
      <c r="D32">
        <f>C31</f>
        <v>-18.891728306527583</v>
      </c>
      <c r="E32">
        <f>D31</f>
        <v>6.7631187041280185</v>
      </c>
      <c r="F32">
        <f>E31</f>
        <v>-1.1780232299867492</v>
      </c>
      <c r="G32">
        <f t="shared" si="3"/>
        <v>-33.519207362704535</v>
      </c>
      <c r="H32">
        <f t="shared" si="3"/>
        <v>12.556186112031853</v>
      </c>
      <c r="I32">
        <f t="shared" si="3"/>
        <v>-35.814020125211457</v>
      </c>
      <c r="J32">
        <f t="shared" si="3"/>
        <v>28.012382596372802</v>
      </c>
      <c r="K32">
        <f t="shared" si="3"/>
        <v>9.5920043799509216</v>
      </c>
      <c r="L32">
        <f t="shared" si="3"/>
        <v>4.0730886425768205</v>
      </c>
      <c r="M32">
        <f t="shared" si="3"/>
        <v>13.498959806647761</v>
      </c>
      <c r="N32">
        <f t="shared" si="3"/>
        <v>1.2609721142757024</v>
      </c>
      <c r="O32">
        <f t="shared" si="3"/>
        <v>-8.7341657098792922</v>
      </c>
    </row>
    <row r="33" spans="1:15">
      <c r="A33">
        <v>32</v>
      </c>
      <c r="B33">
        <v>-0.7937540165210919</v>
      </c>
      <c r="C33">
        <f t="shared" si="0"/>
        <v>-4.3701589514853794</v>
      </c>
      <c r="D33">
        <f>C32</f>
        <v>7.8987179087230999</v>
      </c>
      <c r="E33">
        <f>D32</f>
        <v>-18.891728306527583</v>
      </c>
      <c r="F33">
        <f>E32</f>
        <v>6.7631187041280185</v>
      </c>
      <c r="G33">
        <f t="shared" si="3"/>
        <v>-1.1780232299867492</v>
      </c>
      <c r="H33">
        <f t="shared" si="3"/>
        <v>-33.519207362704535</v>
      </c>
      <c r="I33">
        <f t="shared" si="3"/>
        <v>12.556186112031853</v>
      </c>
      <c r="J33">
        <f t="shared" si="3"/>
        <v>-35.814020125211457</v>
      </c>
      <c r="K33">
        <f t="shared" si="3"/>
        <v>28.012382596372802</v>
      </c>
      <c r="L33">
        <f t="shared" si="3"/>
        <v>9.5920043799509216</v>
      </c>
      <c r="M33">
        <f t="shared" si="3"/>
        <v>4.0730886425768205</v>
      </c>
      <c r="N33">
        <f t="shared" si="3"/>
        <v>13.498959806647761</v>
      </c>
      <c r="O33">
        <f t="shared" si="3"/>
        <v>1.2609721142757024</v>
      </c>
    </row>
    <row r="34" spans="1:15">
      <c r="A34">
        <v>33</v>
      </c>
      <c r="B34">
        <v>6.0515753929825564</v>
      </c>
      <c r="C34">
        <f t="shared" si="0"/>
        <v>2.475170458018269</v>
      </c>
      <c r="D34">
        <f>C33</f>
        <v>-4.3701589514853794</v>
      </c>
      <c r="E34">
        <f>D33</f>
        <v>7.8987179087230999</v>
      </c>
      <c r="F34">
        <f>E33</f>
        <v>-18.891728306527583</v>
      </c>
      <c r="G34">
        <f t="shared" si="3"/>
        <v>6.7631187041280185</v>
      </c>
      <c r="H34">
        <f t="shared" si="3"/>
        <v>-1.1780232299867492</v>
      </c>
      <c r="I34">
        <f t="shared" si="3"/>
        <v>-33.519207362704535</v>
      </c>
      <c r="J34">
        <f t="shared" si="3"/>
        <v>12.556186112031853</v>
      </c>
      <c r="K34">
        <f t="shared" si="3"/>
        <v>-35.814020125211457</v>
      </c>
      <c r="L34">
        <f t="shared" si="3"/>
        <v>28.012382596372802</v>
      </c>
      <c r="M34">
        <f t="shared" si="3"/>
        <v>9.5920043799509216</v>
      </c>
      <c r="N34">
        <f t="shared" si="3"/>
        <v>4.0730886425768205</v>
      </c>
      <c r="O34">
        <f t="shared" si="3"/>
        <v>13.498959806647761</v>
      </c>
    </row>
    <row r="35" spans="1:15">
      <c r="A35">
        <v>34</v>
      </c>
      <c r="B35">
        <v>2.1732850226895835</v>
      </c>
      <c r="C35">
        <f t="shared" si="0"/>
        <v>-1.403119912274704</v>
      </c>
      <c r="D35">
        <f>C34</f>
        <v>2.475170458018269</v>
      </c>
      <c r="E35">
        <f>D34</f>
        <v>-4.3701589514853794</v>
      </c>
      <c r="F35">
        <f>E34</f>
        <v>7.8987179087230999</v>
      </c>
      <c r="G35">
        <f t="shared" si="3"/>
        <v>-18.891728306527583</v>
      </c>
      <c r="H35">
        <f t="shared" si="3"/>
        <v>6.7631187041280185</v>
      </c>
      <c r="I35">
        <f t="shared" si="3"/>
        <v>-1.1780232299867492</v>
      </c>
      <c r="J35">
        <f t="shared" si="3"/>
        <v>-33.519207362704535</v>
      </c>
      <c r="K35">
        <f t="shared" si="3"/>
        <v>12.556186112031853</v>
      </c>
      <c r="L35">
        <f t="shared" si="3"/>
        <v>-35.814020125211457</v>
      </c>
      <c r="M35">
        <f t="shared" si="3"/>
        <v>28.012382596372802</v>
      </c>
      <c r="N35">
        <f t="shared" si="3"/>
        <v>9.5920043799509216</v>
      </c>
      <c r="O35">
        <f t="shared" si="3"/>
        <v>4.0730886425768205</v>
      </c>
    </row>
    <row r="36" spans="1:15">
      <c r="A36">
        <v>35</v>
      </c>
      <c r="B36">
        <v>44.775090315540552</v>
      </c>
      <c r="C36">
        <f t="shared" si="0"/>
        <v>41.198685380576265</v>
      </c>
      <c r="D36">
        <f>C35</f>
        <v>-1.403119912274704</v>
      </c>
      <c r="E36">
        <f>D35</f>
        <v>2.475170458018269</v>
      </c>
      <c r="F36">
        <f>E35</f>
        <v>-4.3701589514853794</v>
      </c>
      <c r="G36">
        <f t="shared" ref="G36:O38" si="4">F35</f>
        <v>7.8987179087230999</v>
      </c>
      <c r="H36">
        <f t="shared" si="4"/>
        <v>-18.891728306527583</v>
      </c>
      <c r="I36">
        <f t="shared" si="4"/>
        <v>6.7631187041280185</v>
      </c>
      <c r="J36">
        <f t="shared" si="4"/>
        <v>-1.1780232299867492</v>
      </c>
      <c r="K36">
        <f t="shared" si="4"/>
        <v>-33.519207362704535</v>
      </c>
      <c r="L36">
        <f t="shared" si="4"/>
        <v>12.556186112031853</v>
      </c>
      <c r="M36">
        <f t="shared" si="4"/>
        <v>-35.814020125211457</v>
      </c>
      <c r="N36">
        <f t="shared" si="4"/>
        <v>28.012382596372802</v>
      </c>
      <c r="O36">
        <f t="shared" si="4"/>
        <v>9.5920043799509216</v>
      </c>
    </row>
    <row r="37" spans="1:15">
      <c r="A37">
        <v>36</v>
      </c>
      <c r="B37">
        <v>51.730488614873167</v>
      </c>
      <c r="C37">
        <f t="shared" si="0"/>
        <v>48.154083679908879</v>
      </c>
      <c r="D37">
        <f>C36</f>
        <v>41.198685380576265</v>
      </c>
      <c r="E37">
        <f>D36</f>
        <v>-1.403119912274704</v>
      </c>
      <c r="F37">
        <f>E36</f>
        <v>2.475170458018269</v>
      </c>
      <c r="G37">
        <f t="shared" si="4"/>
        <v>-4.3701589514853794</v>
      </c>
      <c r="H37">
        <f t="shared" si="4"/>
        <v>7.8987179087230999</v>
      </c>
      <c r="I37">
        <f t="shared" si="4"/>
        <v>-18.891728306527583</v>
      </c>
      <c r="J37">
        <f t="shared" si="4"/>
        <v>6.7631187041280185</v>
      </c>
      <c r="K37">
        <f t="shared" si="4"/>
        <v>-1.1780232299867492</v>
      </c>
      <c r="L37">
        <f t="shared" si="4"/>
        <v>-33.519207362704535</v>
      </c>
      <c r="M37">
        <f t="shared" si="4"/>
        <v>12.556186112031853</v>
      </c>
      <c r="N37">
        <f t="shared" si="4"/>
        <v>-35.814020125211457</v>
      </c>
      <c r="O37">
        <f t="shared" si="4"/>
        <v>28.012382596372802</v>
      </c>
    </row>
    <row r="38" spans="1:15">
      <c r="B38">
        <f>AVERAGE(B2:B37)</f>
        <v>3.5764049349642875</v>
      </c>
      <c r="C38">
        <f>SUMPRODUCT($C2:$C37,C2:C37)</f>
        <v>13636.816624219427</v>
      </c>
      <c r="D38">
        <f t="shared" ref="D38:O38" si="5">SUMPRODUCT($C2:$C37,D2:D37)</f>
        <v>-474.07015907120626</v>
      </c>
      <c r="E38">
        <f t="shared" si="5"/>
        <v>753.36270257841079</v>
      </c>
      <c r="F38">
        <f t="shared" si="5"/>
        <v>-229.3066032729636</v>
      </c>
      <c r="G38">
        <f t="shared" si="5"/>
        <v>-2223.6417858878358</v>
      </c>
      <c r="H38">
        <f t="shared" si="5"/>
        <v>1544.2839058343113</v>
      </c>
      <c r="I38">
        <f t="shared" si="5"/>
        <v>-2442.5315145190384</v>
      </c>
      <c r="J38">
        <f t="shared" si="5"/>
        <v>1790.5254596333448</v>
      </c>
      <c r="K38">
        <f t="shared" si="5"/>
        <v>-4382.6092427345466</v>
      </c>
      <c r="L38">
        <f t="shared" si="5"/>
        <v>-167.6997026279596</v>
      </c>
      <c r="M38">
        <f t="shared" si="5"/>
        <v>-1460.4196677089494</v>
      </c>
      <c r="N38">
        <f t="shared" si="5"/>
        <v>733.06179366203673</v>
      </c>
      <c r="O38">
        <f t="shared" si="5"/>
        <v>5512.8012902301834</v>
      </c>
    </row>
    <row r="40" spans="1:15">
      <c r="D40">
        <f>D38/$C38</f>
        <v>-3.4763990169761637E-2</v>
      </c>
      <c r="E40">
        <f t="shared" ref="E40:O40" si="6">E38/$C38</f>
        <v>5.5244763007255976E-2</v>
      </c>
      <c r="F40">
        <f t="shared" si="6"/>
        <v>-1.6815258985422424E-2</v>
      </c>
      <c r="G40">
        <f t="shared" si="6"/>
        <v>-0.16306164753572883</v>
      </c>
      <c r="H40">
        <f t="shared" si="6"/>
        <v>0.11324372457217127</v>
      </c>
      <c r="I40">
        <f t="shared" si="6"/>
        <v>-0.17911302775612772</v>
      </c>
      <c r="J40">
        <f t="shared" si="6"/>
        <v>0.13130083867618442</v>
      </c>
      <c r="K40">
        <f t="shared" si="6"/>
        <v>-0.3213806684876066</v>
      </c>
      <c r="L40">
        <f t="shared" si="6"/>
        <v>-1.2297569678404232E-2</v>
      </c>
      <c r="M40">
        <f t="shared" si="6"/>
        <v>-0.10709388473518056</v>
      </c>
      <c r="N40">
        <f t="shared" si="6"/>
        <v>5.3756079139474187E-2</v>
      </c>
      <c r="O40">
        <f t="shared" si="6"/>
        <v>0.40425866550403489</v>
      </c>
    </row>
    <row r="41" spans="1:15">
      <c r="D41">
        <v>0.33</v>
      </c>
      <c r="E41">
        <v>0.33</v>
      </c>
      <c r="F41">
        <v>0.33</v>
      </c>
      <c r="G41">
        <v>0.33</v>
      </c>
      <c r="H41">
        <v>0.33</v>
      </c>
      <c r="I41">
        <v>0.33</v>
      </c>
      <c r="J41">
        <v>0.33</v>
      </c>
      <c r="K41">
        <v>0.33</v>
      </c>
      <c r="L41">
        <v>0.33</v>
      </c>
      <c r="M41">
        <v>0.33</v>
      </c>
      <c r="N41">
        <v>0.33</v>
      </c>
      <c r="O41">
        <v>0.33</v>
      </c>
    </row>
    <row r="42" spans="1:15">
      <c r="D42">
        <v>-0.33</v>
      </c>
      <c r="E42">
        <v>-0.33</v>
      </c>
      <c r="F42">
        <v>-0.33</v>
      </c>
      <c r="G42">
        <v>-0.33</v>
      </c>
      <c r="H42">
        <v>-0.33</v>
      </c>
      <c r="I42">
        <v>-0.33</v>
      </c>
      <c r="J42">
        <v>-0.33</v>
      </c>
      <c r="K42">
        <v>-0.33</v>
      </c>
      <c r="L42">
        <v>-0.33</v>
      </c>
      <c r="M42">
        <v>-0.33</v>
      </c>
      <c r="N42">
        <v>-0.33</v>
      </c>
      <c r="O42">
        <v>-0.33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O42"/>
  <sheetViews>
    <sheetView topLeftCell="A40" workbookViewId="0"/>
  </sheetViews>
  <sheetFormatPr baseColWidth="10" defaultColWidth="11" defaultRowHeight="15" x14ac:dyDescent="0"/>
  <cols>
    <col min="2" max="2" width="13.33203125" bestFit="1" customWidth="1"/>
    <col min="3" max="3" width="19.1640625" bestFit="1" customWidth="1"/>
    <col min="4" max="4" width="11" style="18"/>
    <col min="5" max="15" width="11" style="17"/>
  </cols>
  <sheetData>
    <row r="1" spans="1:15">
      <c r="A1" t="s">
        <v>1</v>
      </c>
      <c r="B1" t="s">
        <v>25</v>
      </c>
      <c r="C1" t="s">
        <v>10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>
      <c r="C40" s="18" t="s">
        <v>11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>
      <c r="C41" s="18" t="s">
        <v>26</v>
      </c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>
      <c r="C42" s="18" t="s">
        <v>27</v>
      </c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37"/>
  <sheetViews>
    <sheetView topLeftCell="A34" workbookViewId="0"/>
  </sheetViews>
  <sheetFormatPr baseColWidth="10" defaultColWidth="11" defaultRowHeight="15" x14ac:dyDescent="0"/>
  <cols>
    <col min="4" max="4" width="21.5" bestFit="1" customWidth="1"/>
    <col min="5" max="5" width="19.83203125" bestFit="1" customWidth="1"/>
    <col min="6" max="6" width="19.83203125" style="10" customWidth="1"/>
    <col min="7" max="7" width="22.1640625" customWidth="1"/>
    <col min="8" max="8" width="18.1640625" bestFit="1" customWidth="1"/>
  </cols>
  <sheetData>
    <row r="1" spans="1:8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"/>
  <sheetViews>
    <sheetView topLeftCell="B1" workbookViewId="0">
      <selection activeCell="H2" sqref="H2:H13"/>
    </sheetView>
  </sheetViews>
  <sheetFormatPr baseColWidth="10" defaultRowHeight="15" x14ac:dyDescent="0"/>
  <cols>
    <col min="5" max="5" width="10.83203125" customWidth="1"/>
    <col min="7" max="9" width="10.83203125" style="37"/>
  </cols>
  <sheetData>
    <row r="1" spans="1:10" s="1" customFormat="1" ht="30">
      <c r="B1" s="34" t="s">
        <v>1</v>
      </c>
      <c r="C1" s="35" t="s">
        <v>0</v>
      </c>
      <c r="D1" s="1" t="s">
        <v>20</v>
      </c>
      <c r="E1" s="1" t="s">
        <v>17</v>
      </c>
      <c r="F1" s="1" t="s">
        <v>44</v>
      </c>
      <c r="G1" s="36"/>
      <c r="H1" s="36" t="s">
        <v>59</v>
      </c>
      <c r="I1" s="36" t="s">
        <v>58</v>
      </c>
      <c r="J1" s="1" t="s">
        <v>57</v>
      </c>
    </row>
    <row r="2" spans="1:10">
      <c r="A2" t="s">
        <v>45</v>
      </c>
      <c r="B2" s="26">
        <v>1</v>
      </c>
      <c r="C2" s="27">
        <v>165</v>
      </c>
      <c r="H2" s="37">
        <f>1+I2</f>
        <v>0.98823339924446252</v>
      </c>
      <c r="I2" s="37">
        <v>-1.1766600755537482E-2</v>
      </c>
      <c r="J2">
        <f>C2/H2</f>
        <v>166.96460585743006</v>
      </c>
    </row>
    <row r="3" spans="1:10">
      <c r="A3" t="s">
        <v>46</v>
      </c>
      <c r="B3" s="26">
        <v>2</v>
      </c>
      <c r="C3" s="27">
        <v>171</v>
      </c>
      <c r="H3" s="37">
        <f t="shared" ref="H3:H37" si="0">1+I3</f>
        <v>1.0394595142086607</v>
      </c>
      <c r="I3" s="37">
        <v>3.9459514208660673E-2</v>
      </c>
      <c r="J3">
        <f t="shared" ref="J3:J37" si="1">C3/H3</f>
        <v>164.50857167840934</v>
      </c>
    </row>
    <row r="4" spans="1:10">
      <c r="A4" t="s">
        <v>47</v>
      </c>
      <c r="B4" s="26">
        <v>3</v>
      </c>
      <c r="C4" s="27">
        <v>147</v>
      </c>
      <c r="H4" s="37">
        <f t="shared" si="0"/>
        <v>0.93293329171244777</v>
      </c>
      <c r="I4" s="37">
        <v>-6.7066708287552235E-2</v>
      </c>
      <c r="J4">
        <f t="shared" si="1"/>
        <v>157.56753597052349</v>
      </c>
    </row>
    <row r="5" spans="1:10">
      <c r="A5" t="s">
        <v>48</v>
      </c>
      <c r="B5" s="26">
        <v>4</v>
      </c>
      <c r="C5" s="27">
        <v>143</v>
      </c>
      <c r="H5" s="37">
        <f t="shared" si="0"/>
        <v>0.91259775591054715</v>
      </c>
      <c r="I5" s="37">
        <v>-8.7402244089452852E-2</v>
      </c>
      <c r="J5">
        <f t="shared" si="1"/>
        <v>156.69554201053379</v>
      </c>
    </row>
    <row r="6" spans="1:10">
      <c r="A6" t="s">
        <v>49</v>
      </c>
      <c r="B6" s="26">
        <v>5</v>
      </c>
      <c r="C6" s="27">
        <v>164</v>
      </c>
      <c r="H6" s="37">
        <f t="shared" si="0"/>
        <v>1.0430106047420362</v>
      </c>
      <c r="I6" s="37">
        <v>4.3010604742036218E-2</v>
      </c>
      <c r="J6">
        <f t="shared" si="1"/>
        <v>157.23713570540491</v>
      </c>
    </row>
    <row r="7" spans="1:10">
      <c r="A7" t="s">
        <v>50</v>
      </c>
      <c r="B7" s="26">
        <v>6</v>
      </c>
      <c r="C7" s="27">
        <v>160</v>
      </c>
      <c r="H7" s="37">
        <f t="shared" si="0"/>
        <v>0.90644245153667458</v>
      </c>
      <c r="I7" s="37">
        <v>-9.3557548463325424E-2</v>
      </c>
      <c r="J7">
        <f t="shared" si="1"/>
        <v>176.5142395181901</v>
      </c>
    </row>
    <row r="8" spans="1:10">
      <c r="A8" t="s">
        <v>51</v>
      </c>
      <c r="B8" s="26">
        <v>7</v>
      </c>
      <c r="C8" s="27">
        <v>152</v>
      </c>
      <c r="D8">
        <f>(AVERAGE(C3:C14) +AVERAGE(C2:C13))/2</f>
        <v>163.16666666666669</v>
      </c>
      <c r="E8">
        <f>C8/D8</f>
        <v>0.93156281920326856</v>
      </c>
      <c r="F8">
        <f>(E8+E20)/2</f>
        <v>0.92083758937691518</v>
      </c>
      <c r="G8" s="37">
        <f>F8-1</f>
        <v>-7.9162410623084822E-2</v>
      </c>
      <c r="H8" s="37">
        <f t="shared" si="0"/>
        <v>0.92083758937691518</v>
      </c>
      <c r="I8" s="37">
        <v>-7.9162410623084822E-2</v>
      </c>
      <c r="J8">
        <f t="shared" si="1"/>
        <v>165.06711037160289</v>
      </c>
    </row>
    <row r="9" spans="1:10">
      <c r="A9" t="s">
        <v>52</v>
      </c>
      <c r="B9" s="26">
        <v>8</v>
      </c>
      <c r="C9" s="27">
        <v>150</v>
      </c>
      <c r="D9">
        <f t="shared" ref="D9:D31" si="2">(AVERAGE(C4:C15) +AVERAGE(C3:C14))/2</f>
        <v>163.125</v>
      </c>
      <c r="E9">
        <f t="shared" ref="E9:E31" si="3">C9/D9</f>
        <v>0.91954022988505746</v>
      </c>
      <c r="F9">
        <f>(E9+E21)/2</f>
        <v>0.92662094367181047</v>
      </c>
      <c r="G9" s="37">
        <f t="shared" ref="G9:G19" si="4">F9-1</f>
        <v>-7.3379056328189529E-2</v>
      </c>
      <c r="H9" s="37">
        <f t="shared" si="0"/>
        <v>0.92662094367181047</v>
      </c>
      <c r="I9" s="37">
        <v>-7.3379056328189529E-2</v>
      </c>
      <c r="J9">
        <f t="shared" si="1"/>
        <v>161.87849090223762</v>
      </c>
    </row>
    <row r="10" spans="1:10">
      <c r="A10" t="s">
        <v>53</v>
      </c>
      <c r="B10" s="26">
        <v>9</v>
      </c>
      <c r="C10" s="27">
        <v>159</v>
      </c>
      <c r="D10">
        <f t="shared" si="2"/>
        <v>163.54166666666666</v>
      </c>
      <c r="E10">
        <f t="shared" si="3"/>
        <v>0.97222929936305735</v>
      </c>
      <c r="F10">
        <f t="shared" ref="F10:F19" si="5">(E10+E22)/2</f>
        <v>0.98849075287229571</v>
      </c>
      <c r="G10" s="37">
        <f t="shared" si="4"/>
        <v>-1.1509247127704292E-2</v>
      </c>
      <c r="H10" s="37">
        <f t="shared" si="0"/>
        <v>0.98849075287229571</v>
      </c>
      <c r="I10" s="37">
        <v>-1.1509247127704292E-2</v>
      </c>
      <c r="J10">
        <f t="shared" si="1"/>
        <v>160.85127709893854</v>
      </c>
    </row>
    <row r="11" spans="1:10">
      <c r="A11" t="s">
        <v>54</v>
      </c>
      <c r="B11" s="26">
        <v>10</v>
      </c>
      <c r="C11" s="27">
        <v>169</v>
      </c>
      <c r="D11">
        <f t="shared" si="2"/>
        <v>164.33333333333331</v>
      </c>
      <c r="E11">
        <f t="shared" si="3"/>
        <v>1.028397565922921</v>
      </c>
      <c r="F11">
        <f t="shared" si="5"/>
        <v>1.0162014531884298</v>
      </c>
      <c r="G11" s="37">
        <f t="shared" si="4"/>
        <v>1.6201453188429804E-2</v>
      </c>
      <c r="H11" s="37">
        <f t="shared" si="0"/>
        <v>1.0162014531884298</v>
      </c>
      <c r="I11" s="37">
        <v>1.6201453188429804E-2</v>
      </c>
      <c r="J11">
        <f t="shared" si="1"/>
        <v>166.30560748535268</v>
      </c>
    </row>
    <row r="12" spans="1:10">
      <c r="A12" t="s">
        <v>55</v>
      </c>
      <c r="B12" s="26">
        <v>11</v>
      </c>
      <c r="C12" s="27">
        <v>173</v>
      </c>
      <c r="D12">
        <f t="shared" si="2"/>
        <v>165.5</v>
      </c>
      <c r="E12">
        <f t="shared" si="3"/>
        <v>1.0453172205438066</v>
      </c>
      <c r="F12">
        <f t="shared" si="5"/>
        <v>1.0480526558060541</v>
      </c>
      <c r="G12" s="37">
        <f t="shared" si="4"/>
        <v>4.8052655806054112E-2</v>
      </c>
      <c r="H12" s="37">
        <f t="shared" si="0"/>
        <v>1.0480526558060541</v>
      </c>
      <c r="I12" s="37">
        <v>4.8052655806054112E-2</v>
      </c>
      <c r="J12">
        <f t="shared" si="1"/>
        <v>165.06804218433683</v>
      </c>
    </row>
    <row r="13" spans="1:10">
      <c r="A13" t="s">
        <v>56</v>
      </c>
      <c r="B13" s="26">
        <v>12</v>
      </c>
      <c r="C13" s="27">
        <v>203</v>
      </c>
      <c r="D13">
        <f t="shared" si="2"/>
        <v>166.54166666666669</v>
      </c>
      <c r="E13">
        <f t="shared" si="3"/>
        <v>1.2189141856392294</v>
      </c>
      <c r="F13">
        <f t="shared" si="5"/>
        <v>1.2040049076184032</v>
      </c>
      <c r="G13" s="37">
        <f t="shared" si="4"/>
        <v>0.20400490761840318</v>
      </c>
      <c r="H13" s="37">
        <f t="shared" si="0"/>
        <v>1.2040049076184032</v>
      </c>
      <c r="I13" s="37">
        <v>0.20400490761840318</v>
      </c>
      <c r="J13">
        <f t="shared" si="1"/>
        <v>168.60396391701315</v>
      </c>
    </row>
    <row r="14" spans="1:10">
      <c r="A14" t="s">
        <v>45</v>
      </c>
      <c r="B14" s="26">
        <v>13</v>
      </c>
      <c r="C14" s="27">
        <v>169</v>
      </c>
      <c r="D14">
        <f t="shared" si="2"/>
        <v>167</v>
      </c>
      <c r="E14">
        <f t="shared" si="3"/>
        <v>1.0119760479041917</v>
      </c>
      <c r="F14">
        <f t="shared" si="5"/>
        <v>0.98823339924446252</v>
      </c>
      <c r="G14" s="37">
        <f t="shared" si="4"/>
        <v>-1.1766600755537482E-2</v>
      </c>
      <c r="H14" s="37">
        <f t="shared" si="0"/>
        <v>0.98823339924446252</v>
      </c>
      <c r="I14" s="37">
        <v>-1.1766600755537482E-2</v>
      </c>
      <c r="J14">
        <f t="shared" si="1"/>
        <v>171.01223266609503</v>
      </c>
    </row>
    <row r="15" spans="1:10">
      <c r="A15" t="s">
        <v>46</v>
      </c>
      <c r="B15" s="26">
        <v>14</v>
      </c>
      <c r="C15" s="27">
        <v>166</v>
      </c>
      <c r="D15">
        <f t="shared" si="2"/>
        <v>168.20833333333331</v>
      </c>
      <c r="E15">
        <f t="shared" si="3"/>
        <v>0.98687143918751563</v>
      </c>
      <c r="F15">
        <f t="shared" si="5"/>
        <v>1.0394595142086607</v>
      </c>
      <c r="G15" s="37">
        <f t="shared" si="4"/>
        <v>3.9459514208660673E-2</v>
      </c>
      <c r="H15" s="37">
        <f t="shared" si="0"/>
        <v>1.0394595142086607</v>
      </c>
      <c r="I15" s="37">
        <v>3.9459514208660673E-2</v>
      </c>
      <c r="J15">
        <f t="shared" si="1"/>
        <v>159.69837952406988</v>
      </c>
    </row>
    <row r="16" spans="1:10">
      <c r="A16" t="s">
        <v>47</v>
      </c>
      <c r="B16" s="26">
        <v>15</v>
      </c>
      <c r="C16" s="27">
        <v>162</v>
      </c>
      <c r="D16">
        <f t="shared" si="2"/>
        <v>170.08333333333331</v>
      </c>
      <c r="E16">
        <f t="shared" si="3"/>
        <v>0.95247427731504175</v>
      </c>
      <c r="F16">
        <f t="shared" si="5"/>
        <v>0.93293329171244777</v>
      </c>
      <c r="G16" s="37">
        <f t="shared" si="4"/>
        <v>-6.7066708287552235E-2</v>
      </c>
      <c r="H16" s="37">
        <f t="shared" si="0"/>
        <v>0.93293329171244777</v>
      </c>
      <c r="I16" s="37">
        <v>-6.7066708287552235E-2</v>
      </c>
      <c r="J16">
        <f t="shared" si="1"/>
        <v>173.64585596751567</v>
      </c>
    </row>
    <row r="17" spans="1:10">
      <c r="A17" t="s">
        <v>48</v>
      </c>
      <c r="B17" s="26">
        <v>16</v>
      </c>
      <c r="C17" s="27">
        <v>147</v>
      </c>
      <c r="D17">
        <f t="shared" si="2"/>
        <v>171.95833333333331</v>
      </c>
      <c r="E17">
        <f t="shared" si="3"/>
        <v>0.85485825054519027</v>
      </c>
      <c r="F17">
        <f t="shared" si="5"/>
        <v>0.91259775591054715</v>
      </c>
      <c r="G17" s="37">
        <f t="shared" si="4"/>
        <v>-8.7402244089452852E-2</v>
      </c>
      <c r="H17" s="37">
        <f t="shared" si="0"/>
        <v>0.91259775591054715</v>
      </c>
      <c r="I17" s="37">
        <v>-8.7402244089452852E-2</v>
      </c>
      <c r="J17">
        <f t="shared" si="1"/>
        <v>161.07863409474453</v>
      </c>
    </row>
    <row r="18" spans="1:10">
      <c r="A18" t="s">
        <v>49</v>
      </c>
      <c r="B18" s="26">
        <v>17</v>
      </c>
      <c r="C18" s="27">
        <v>188</v>
      </c>
      <c r="D18">
        <f t="shared" si="2"/>
        <v>173.875</v>
      </c>
      <c r="E18">
        <f t="shared" si="3"/>
        <v>1.081236520488857</v>
      </c>
      <c r="F18">
        <f t="shared" si="5"/>
        <v>1.0430106047420362</v>
      </c>
      <c r="G18" s="37">
        <f t="shared" si="4"/>
        <v>4.3010604742036218E-2</v>
      </c>
      <c r="H18" s="37">
        <f t="shared" si="0"/>
        <v>1.0430106047420362</v>
      </c>
      <c r="I18" s="37">
        <v>4.3010604742036218E-2</v>
      </c>
      <c r="J18">
        <f t="shared" si="1"/>
        <v>180.24744824765929</v>
      </c>
    </row>
    <row r="19" spans="1:10">
      <c r="A19" t="s">
        <v>50</v>
      </c>
      <c r="B19" s="26">
        <v>18</v>
      </c>
      <c r="C19" s="27">
        <v>161</v>
      </c>
      <c r="D19">
        <f t="shared" si="2"/>
        <v>176.08333333333331</v>
      </c>
      <c r="E19">
        <f t="shared" si="3"/>
        <v>0.91433980123047809</v>
      </c>
      <c r="F19">
        <f t="shared" si="5"/>
        <v>0.90644245153667458</v>
      </c>
      <c r="G19" s="37">
        <f t="shared" si="4"/>
        <v>-9.3557548463325424E-2</v>
      </c>
      <c r="H19" s="37">
        <f t="shared" si="0"/>
        <v>0.90644245153667458</v>
      </c>
      <c r="I19" s="37">
        <v>-9.3557548463325424E-2</v>
      </c>
      <c r="J19">
        <f t="shared" si="1"/>
        <v>177.61745351517879</v>
      </c>
    </row>
    <row r="20" spans="1:10">
      <c r="A20" t="s">
        <v>51</v>
      </c>
      <c r="B20" s="26">
        <v>19</v>
      </c>
      <c r="C20" s="27">
        <v>162</v>
      </c>
      <c r="D20">
        <f t="shared" si="2"/>
        <v>178</v>
      </c>
      <c r="E20">
        <f t="shared" si="3"/>
        <v>0.9101123595505618</v>
      </c>
      <c r="H20" s="37">
        <f t="shared" si="0"/>
        <v>0.92083758937691518</v>
      </c>
      <c r="I20" s="37">
        <v>-7.9162410623084822E-2</v>
      </c>
      <c r="J20">
        <f t="shared" si="1"/>
        <v>175.92678868552414</v>
      </c>
    </row>
    <row r="21" spans="1:10">
      <c r="A21" t="s">
        <v>52</v>
      </c>
      <c r="B21" s="26">
        <v>20</v>
      </c>
      <c r="C21" s="27">
        <v>169</v>
      </c>
      <c r="D21">
        <f t="shared" si="2"/>
        <v>181</v>
      </c>
      <c r="E21">
        <f t="shared" si="3"/>
        <v>0.93370165745856348</v>
      </c>
      <c r="H21" s="37">
        <f t="shared" si="0"/>
        <v>0.92662094367181047</v>
      </c>
      <c r="I21" s="37">
        <v>-7.3379056328189529E-2</v>
      </c>
      <c r="J21">
        <f t="shared" si="1"/>
        <v>182.38309974985438</v>
      </c>
    </row>
    <row r="22" spans="1:10">
      <c r="A22" t="s">
        <v>53</v>
      </c>
      <c r="B22" s="26">
        <v>21</v>
      </c>
      <c r="C22" s="27">
        <v>185</v>
      </c>
      <c r="D22">
        <f t="shared" si="2"/>
        <v>184.125</v>
      </c>
      <c r="E22">
        <f t="shared" si="3"/>
        <v>1.0047522063815342</v>
      </c>
      <c r="H22" s="37">
        <f t="shared" si="0"/>
        <v>0.98849075287229571</v>
      </c>
      <c r="I22" s="37">
        <v>-1.1509247127704292E-2</v>
      </c>
      <c r="J22">
        <f t="shared" si="1"/>
        <v>187.15400165599766</v>
      </c>
    </row>
    <row r="23" spans="1:10">
      <c r="A23" t="s">
        <v>54</v>
      </c>
      <c r="B23" s="26">
        <v>22</v>
      </c>
      <c r="C23" s="27">
        <v>188</v>
      </c>
      <c r="D23">
        <f t="shared" si="2"/>
        <v>187.25</v>
      </c>
      <c r="E23">
        <f t="shared" si="3"/>
        <v>1.0040053404539386</v>
      </c>
      <c r="H23" s="37">
        <f t="shared" si="0"/>
        <v>1.0162014531884298</v>
      </c>
      <c r="I23" s="37">
        <v>1.6201453188429804E-2</v>
      </c>
      <c r="J23">
        <f t="shared" si="1"/>
        <v>185.00268761684202</v>
      </c>
    </row>
    <row r="24" spans="1:10">
      <c r="A24" t="s">
        <v>55</v>
      </c>
      <c r="B24" s="26">
        <v>23</v>
      </c>
      <c r="C24" s="27">
        <v>200</v>
      </c>
      <c r="D24">
        <f t="shared" si="2"/>
        <v>190.33333333333331</v>
      </c>
      <c r="E24">
        <f t="shared" si="3"/>
        <v>1.0507880910683014</v>
      </c>
      <c r="H24" s="37">
        <f t="shared" si="0"/>
        <v>1.0480526558060541</v>
      </c>
      <c r="I24" s="37">
        <v>4.8052655806054112E-2</v>
      </c>
      <c r="J24">
        <f t="shared" si="1"/>
        <v>190.83010657148768</v>
      </c>
    </row>
    <row r="25" spans="1:10">
      <c r="A25" t="s">
        <v>56</v>
      </c>
      <c r="B25" s="26">
        <v>24</v>
      </c>
      <c r="C25" s="27">
        <v>229</v>
      </c>
      <c r="D25">
        <f t="shared" si="2"/>
        <v>192.58333333333331</v>
      </c>
      <c r="E25">
        <f t="shared" si="3"/>
        <v>1.189095629597577</v>
      </c>
      <c r="H25" s="37">
        <f t="shared" si="0"/>
        <v>1.2040049076184032</v>
      </c>
      <c r="I25" s="37">
        <v>0.20400490761840318</v>
      </c>
      <c r="J25">
        <f t="shared" si="1"/>
        <v>190.19856028076853</v>
      </c>
    </row>
    <row r="26" spans="1:10">
      <c r="A26" t="s">
        <v>45</v>
      </c>
      <c r="B26" s="26">
        <v>25</v>
      </c>
      <c r="C26" s="27">
        <v>189</v>
      </c>
      <c r="D26">
        <f t="shared" si="2"/>
        <v>195.95833333333331</v>
      </c>
      <c r="E26">
        <f t="shared" si="3"/>
        <v>0.96449075058473321</v>
      </c>
      <c r="H26" s="37">
        <f t="shared" si="0"/>
        <v>0.98823339924446252</v>
      </c>
      <c r="I26" s="37">
        <v>-1.1766600755537482E-2</v>
      </c>
      <c r="J26">
        <f t="shared" si="1"/>
        <v>191.25036670941989</v>
      </c>
    </row>
    <row r="27" spans="1:10">
      <c r="A27" t="s">
        <v>46</v>
      </c>
      <c r="B27" s="26">
        <v>26</v>
      </c>
      <c r="C27" s="27">
        <v>218</v>
      </c>
      <c r="D27">
        <f t="shared" si="2"/>
        <v>199.625</v>
      </c>
      <c r="E27">
        <f t="shared" si="3"/>
        <v>1.0920475892298058</v>
      </c>
      <c r="H27" s="37">
        <f t="shared" si="0"/>
        <v>1.0394595142086607</v>
      </c>
      <c r="I27" s="37">
        <v>3.9459514208660673E-2</v>
      </c>
      <c r="J27">
        <f t="shared" si="1"/>
        <v>209.72437792920022</v>
      </c>
    </row>
    <row r="28" spans="1:10">
      <c r="A28" t="s">
        <v>47</v>
      </c>
      <c r="B28" s="26">
        <v>27</v>
      </c>
      <c r="C28" s="27">
        <v>185</v>
      </c>
      <c r="D28">
        <f t="shared" si="2"/>
        <v>202.54166666666669</v>
      </c>
      <c r="E28">
        <f t="shared" si="3"/>
        <v>0.91339230610985389</v>
      </c>
      <c r="H28" s="37">
        <f t="shared" si="0"/>
        <v>0.93293329171244777</v>
      </c>
      <c r="I28" s="37">
        <v>-6.7066708287552235E-2</v>
      </c>
      <c r="J28">
        <f t="shared" si="1"/>
        <v>198.29927996290371</v>
      </c>
    </row>
    <row r="29" spans="1:10">
      <c r="A29" t="s">
        <v>48</v>
      </c>
      <c r="B29" s="26">
        <v>28</v>
      </c>
      <c r="C29" s="27">
        <v>199</v>
      </c>
      <c r="D29">
        <f t="shared" si="2"/>
        <v>205.08333333333334</v>
      </c>
      <c r="E29">
        <f t="shared" si="3"/>
        <v>0.97033726127590403</v>
      </c>
      <c r="H29" s="37">
        <f t="shared" si="0"/>
        <v>0.91259775591054715</v>
      </c>
      <c r="I29" s="37">
        <v>-8.7402244089452852E-2</v>
      </c>
      <c r="J29">
        <f t="shared" si="1"/>
        <v>218.0588311894841</v>
      </c>
    </row>
    <row r="30" spans="1:10">
      <c r="A30" t="s">
        <v>49</v>
      </c>
      <c r="B30" s="26">
        <v>29</v>
      </c>
      <c r="C30" s="27">
        <v>210</v>
      </c>
      <c r="D30">
        <f t="shared" si="2"/>
        <v>209</v>
      </c>
      <c r="E30">
        <f t="shared" si="3"/>
        <v>1.0047846889952152</v>
      </c>
      <c r="H30" s="37">
        <f t="shared" si="0"/>
        <v>1.0430106047420362</v>
      </c>
      <c r="I30" s="37">
        <v>4.3010604742036218E-2</v>
      </c>
      <c r="J30">
        <f t="shared" si="1"/>
        <v>201.34023474472582</v>
      </c>
    </row>
    <row r="31" spans="1:10">
      <c r="A31" t="s">
        <v>50</v>
      </c>
      <c r="B31" s="26">
        <v>30</v>
      </c>
      <c r="C31" s="27">
        <v>193</v>
      </c>
      <c r="D31">
        <f t="shared" si="2"/>
        <v>214.79166666666666</v>
      </c>
      <c r="E31">
        <f t="shared" si="3"/>
        <v>0.89854510184287106</v>
      </c>
      <c r="H31" s="37">
        <f t="shared" si="0"/>
        <v>0.90644245153667458</v>
      </c>
      <c r="I31" s="37">
        <v>-9.3557548463325424E-2</v>
      </c>
      <c r="J31">
        <f t="shared" si="1"/>
        <v>212.92030141881682</v>
      </c>
    </row>
    <row r="32" spans="1:10">
      <c r="A32" t="s">
        <v>51</v>
      </c>
      <c r="B32" s="26">
        <v>31</v>
      </c>
      <c r="C32" s="27">
        <v>211</v>
      </c>
      <c r="H32" s="37">
        <f t="shared" si="0"/>
        <v>0.92083758937691518</v>
      </c>
      <c r="I32" s="37">
        <v>-7.9162410623084822E-2</v>
      </c>
      <c r="J32">
        <f t="shared" si="1"/>
        <v>229.13921242373823</v>
      </c>
    </row>
    <row r="33" spans="1:10">
      <c r="A33" t="s">
        <v>52</v>
      </c>
      <c r="B33" s="26">
        <v>32</v>
      </c>
      <c r="C33" s="27">
        <v>208</v>
      </c>
      <c r="H33" s="37">
        <f t="shared" si="0"/>
        <v>0.92662094367181047</v>
      </c>
      <c r="I33" s="37">
        <v>-7.3379056328189529E-2</v>
      </c>
      <c r="J33">
        <f t="shared" si="1"/>
        <v>224.47150738443617</v>
      </c>
    </row>
    <row r="34" spans="1:10">
      <c r="A34" t="s">
        <v>53</v>
      </c>
      <c r="B34" s="26">
        <v>33</v>
      </c>
      <c r="C34" s="27">
        <v>216</v>
      </c>
      <c r="H34" s="37">
        <f t="shared" si="0"/>
        <v>0.98849075287229571</v>
      </c>
      <c r="I34" s="37">
        <v>-1.1509247127704292E-2</v>
      </c>
      <c r="J34">
        <f t="shared" si="1"/>
        <v>218.51494247402968</v>
      </c>
    </row>
    <row r="35" spans="1:10">
      <c r="A35" t="s">
        <v>54</v>
      </c>
      <c r="B35" s="26">
        <v>34</v>
      </c>
      <c r="C35" s="27">
        <v>218</v>
      </c>
      <c r="H35" s="37">
        <f t="shared" si="0"/>
        <v>1.0162014531884298</v>
      </c>
      <c r="I35" s="37">
        <v>1.6201453188429804E-2</v>
      </c>
      <c r="J35">
        <f t="shared" si="1"/>
        <v>214.5243930876147</v>
      </c>
    </row>
    <row r="36" spans="1:10">
      <c r="A36" t="s">
        <v>55</v>
      </c>
      <c r="B36" s="26">
        <v>35</v>
      </c>
      <c r="C36" s="27">
        <v>264</v>
      </c>
      <c r="H36" s="37">
        <f t="shared" si="0"/>
        <v>1.0480526558060541</v>
      </c>
      <c r="I36" s="37">
        <v>4.8052655806054112E-2</v>
      </c>
      <c r="J36">
        <f t="shared" si="1"/>
        <v>251.89574067436374</v>
      </c>
    </row>
    <row r="37" spans="1:10">
      <c r="A37" t="s">
        <v>56</v>
      </c>
      <c r="B37" s="29">
        <v>36</v>
      </c>
      <c r="C37" s="30">
        <v>304</v>
      </c>
      <c r="H37" s="37">
        <f t="shared" si="0"/>
        <v>1.2040049076184032</v>
      </c>
      <c r="I37" s="37">
        <v>0.20400490761840318</v>
      </c>
      <c r="J37">
        <f t="shared" si="1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workbookViewId="0">
      <selection sqref="A1:H64"/>
    </sheetView>
  </sheetViews>
  <sheetFormatPr baseColWidth="10" defaultRowHeight="15" x14ac:dyDescent="0"/>
  <cols>
    <col min="5" max="5" width="10.83203125" style="37"/>
    <col min="7" max="7" width="13.33203125" customWidth="1"/>
  </cols>
  <sheetData>
    <row r="1" spans="1:8">
      <c r="C1" t="s">
        <v>40</v>
      </c>
      <c r="D1" t="s">
        <v>41</v>
      </c>
      <c r="E1" s="37" t="s">
        <v>61</v>
      </c>
      <c r="G1" t="s">
        <v>7</v>
      </c>
      <c r="H1">
        <f>SUM(H17:H52)</f>
        <v>3555.9498719706899</v>
      </c>
    </row>
    <row r="2" spans="1:8">
      <c r="C2">
        <v>0.30727017441242005</v>
      </c>
      <c r="D2">
        <v>0.2330946874443651</v>
      </c>
      <c r="E2" s="37">
        <v>0</v>
      </c>
      <c r="G2" t="s">
        <v>42</v>
      </c>
      <c r="H2">
        <f>SQRT(H1/(36-3))</f>
        <v>10.380561484158001</v>
      </c>
    </row>
    <row r="4" spans="1:8">
      <c r="A4" s="15" t="s">
        <v>1</v>
      </c>
      <c r="B4" s="16" t="s">
        <v>0</v>
      </c>
      <c r="C4" t="s">
        <v>12</v>
      </c>
      <c r="D4" t="s">
        <v>28</v>
      </c>
      <c r="E4" s="37" t="s">
        <v>60</v>
      </c>
      <c r="F4" t="s">
        <v>35</v>
      </c>
      <c r="G4" t="s">
        <v>36</v>
      </c>
      <c r="H4" t="s">
        <v>7</v>
      </c>
    </row>
    <row r="5" spans="1:8">
      <c r="A5" s="31">
        <v>-11</v>
      </c>
      <c r="B5" s="32"/>
      <c r="E5" s="37">
        <v>0.98823339924446252</v>
      </c>
    </row>
    <row r="6" spans="1:8">
      <c r="A6" s="31">
        <v>-10</v>
      </c>
      <c r="B6" s="32"/>
      <c r="E6" s="37">
        <v>1.0394595142086607</v>
      </c>
    </row>
    <row r="7" spans="1:8">
      <c r="A7" s="31">
        <v>-9</v>
      </c>
      <c r="B7" s="32"/>
      <c r="E7" s="37">
        <v>0.93293329171244777</v>
      </c>
    </row>
    <row r="8" spans="1:8">
      <c r="A8" s="31">
        <v>-8</v>
      </c>
      <c r="B8" s="32"/>
      <c r="E8" s="37">
        <v>0.91259775591054715</v>
      </c>
    </row>
    <row r="9" spans="1:8">
      <c r="A9" s="31">
        <v>-7</v>
      </c>
      <c r="B9" s="32"/>
      <c r="E9" s="37">
        <v>1.0430106047420362</v>
      </c>
    </row>
    <row r="10" spans="1:8">
      <c r="A10" s="31">
        <v>-6</v>
      </c>
      <c r="B10" s="32"/>
      <c r="E10" s="37">
        <v>0.90644245153667458</v>
      </c>
    </row>
    <row r="11" spans="1:8">
      <c r="A11" s="31">
        <v>-5</v>
      </c>
      <c r="B11" s="32"/>
      <c r="E11" s="37">
        <v>0.92083758937691518</v>
      </c>
    </row>
    <row r="12" spans="1:8">
      <c r="A12" s="31">
        <v>-4</v>
      </c>
      <c r="B12" s="32"/>
      <c r="E12" s="37">
        <v>0.92662094367181047</v>
      </c>
    </row>
    <row r="13" spans="1:8">
      <c r="A13" s="31">
        <v>-3</v>
      </c>
      <c r="B13" s="32"/>
      <c r="E13" s="37">
        <v>0.98849075287229571</v>
      </c>
    </row>
    <row r="14" spans="1:8">
      <c r="A14" s="31">
        <v>-2</v>
      </c>
      <c r="B14" s="32"/>
      <c r="E14" s="37">
        <v>1.0162014531884298</v>
      </c>
    </row>
    <row r="15" spans="1:8">
      <c r="A15" s="31">
        <v>-1</v>
      </c>
      <c r="B15" s="32"/>
      <c r="E15" s="37">
        <v>1.0480526558060541</v>
      </c>
    </row>
    <row r="16" spans="1:8">
      <c r="A16" s="31">
        <v>0</v>
      </c>
      <c r="B16" s="32"/>
      <c r="C16">
        <v>144.41999999999999</v>
      </c>
      <c r="D16">
        <v>2.29</v>
      </c>
      <c r="E16" s="37">
        <v>1.2040049076184032</v>
      </c>
    </row>
    <row r="17" spans="1:8">
      <c r="A17" s="26">
        <v>1</v>
      </c>
      <c r="B17" s="27">
        <v>165</v>
      </c>
      <c r="C17">
        <f>C16+D16+$C$2*(G17/E5)</f>
        <v>152.93363627446735</v>
      </c>
      <c r="D17">
        <f>D16+$D$2*($C$2*G17/E5)</f>
        <v>3.7406965521643838</v>
      </c>
      <c r="E17" s="37">
        <f>E5+$E$2*(1-$C$2)*G17/(C16+D16)</f>
        <v>0.98823339924446252</v>
      </c>
      <c r="F17">
        <f>(C16+D16)*E5</f>
        <v>144.98372200315507</v>
      </c>
      <c r="G17">
        <f>B17-F17</f>
        <v>20.016277996844934</v>
      </c>
      <c r="H17">
        <f>G17^2</f>
        <v>400.65138484697866</v>
      </c>
    </row>
    <row r="18" spans="1:8">
      <c r="A18" s="26">
        <v>2</v>
      </c>
      <c r="B18" s="27">
        <v>171</v>
      </c>
      <c r="C18">
        <f t="shared" ref="C18:C52" si="0">C17+D17+$C$2*(G18/E6)</f>
        <v>159.081560765006</v>
      </c>
      <c r="D18">
        <f t="shared" ref="D18:D52" si="1">D17+$D$2*($C$2*G18/E6)</f>
        <v>4.301808596067076</v>
      </c>
      <c r="E18" s="37">
        <f t="shared" ref="E18:E52" si="2">E6+$E$2*(1-$C$2)*G18/(C17+D17)</f>
        <v>1.0394595142086607</v>
      </c>
      <c r="F18">
        <f t="shared" ref="F18:F52" si="3">(C17+D17)*E6</f>
        <v>162.85662588893663</v>
      </c>
      <c r="G18">
        <f t="shared" ref="G18:G52" si="4">B18-F18</f>
        <v>8.1433741110633662</v>
      </c>
      <c r="H18">
        <f t="shared" ref="H18:H51" si="5">G18^2</f>
        <v>66.31454191273707</v>
      </c>
    </row>
    <row r="19" spans="1:8">
      <c r="A19" s="26">
        <v>3</v>
      </c>
      <c r="B19" s="27">
        <v>147</v>
      </c>
      <c r="C19">
        <f t="shared" si="0"/>
        <v>161.59633722080534</v>
      </c>
      <c r="D19">
        <f t="shared" si="1"/>
        <v>3.8852608978783305</v>
      </c>
      <c r="E19" s="37">
        <f t="shared" si="2"/>
        <v>0.93293329171244777</v>
      </c>
      <c r="F19">
        <f t="shared" si="3"/>
        <v>152.42578458909659</v>
      </c>
      <c r="G19">
        <f t="shared" si="4"/>
        <v>-5.4257845890965939</v>
      </c>
      <c r="H19">
        <f t="shared" si="5"/>
        <v>29.439138407278094</v>
      </c>
    </row>
    <row r="20" spans="1:8">
      <c r="A20" s="26">
        <v>4</v>
      </c>
      <c r="B20" s="27">
        <v>143</v>
      </c>
      <c r="C20">
        <f t="shared" si="0"/>
        <v>162.78190512593517</v>
      </c>
      <c r="D20">
        <f t="shared" si="1"/>
        <v>3.2559768035378713</v>
      </c>
      <c r="E20" s="37">
        <f t="shared" si="2"/>
        <v>0.91259775591054715</v>
      </c>
      <c r="F20">
        <f t="shared" si="3"/>
        <v>151.01813508760173</v>
      </c>
      <c r="G20">
        <f t="shared" si="4"/>
        <v>-8.0181350876017348</v>
      </c>
      <c r="H20">
        <f t="shared" si="5"/>
        <v>64.290490283030081</v>
      </c>
    </row>
    <row r="21" spans="1:8">
      <c r="A21" s="26">
        <v>5</v>
      </c>
      <c r="B21" s="27">
        <v>164</v>
      </c>
      <c r="C21">
        <f t="shared" si="0"/>
        <v>163.33367510224417</v>
      </c>
      <c r="D21">
        <f t="shared" si="1"/>
        <v>2.6256405583600428</v>
      </c>
      <c r="E21" s="37">
        <f t="shared" si="2"/>
        <v>1.0430106047420362</v>
      </c>
      <c r="F21">
        <f t="shared" si="3"/>
        <v>173.17927164134647</v>
      </c>
      <c r="G21">
        <f t="shared" si="4"/>
        <v>-9.1792716413464746</v>
      </c>
      <c r="H21">
        <f t="shared" si="5"/>
        <v>84.259027865627601</v>
      </c>
    </row>
    <row r="22" spans="1:8">
      <c r="A22" s="26">
        <v>6</v>
      </c>
      <c r="B22" s="27">
        <v>160</v>
      </c>
      <c r="C22">
        <f t="shared" si="0"/>
        <v>169.20252895523444</v>
      </c>
      <c r="D22">
        <f t="shared" si="1"/>
        <v>3.3816163475872858</v>
      </c>
      <c r="E22" s="37">
        <f t="shared" si="2"/>
        <v>0.90644245153667458</v>
      </c>
      <c r="F22">
        <f t="shared" si="3"/>
        <v>150.43256894274691</v>
      </c>
      <c r="G22">
        <f t="shared" si="4"/>
        <v>9.5674310572530885</v>
      </c>
      <c r="H22">
        <f t="shared" si="5"/>
        <v>91.53573703529095</v>
      </c>
    </row>
    <row r="23" spans="1:8">
      <c r="A23" s="26">
        <v>7</v>
      </c>
      <c r="B23" s="27">
        <v>152</v>
      </c>
      <c r="C23">
        <f t="shared" si="0"/>
        <v>170.27438466844185</v>
      </c>
      <c r="D23">
        <f t="shared" si="1"/>
        <v>2.8432234144452124</v>
      </c>
      <c r="E23" s="37">
        <f t="shared" si="2"/>
        <v>0.92083758937691518</v>
      </c>
      <c r="F23">
        <f t="shared" si="3"/>
        <v>158.92196832532562</v>
      </c>
      <c r="G23">
        <f t="shared" si="4"/>
        <v>-6.9219683253256221</v>
      </c>
      <c r="H23">
        <f t="shared" si="5"/>
        <v>47.913645496811199</v>
      </c>
    </row>
    <row r="24" spans="1:8">
      <c r="A24" s="26">
        <v>8</v>
      </c>
      <c r="B24" s="27">
        <v>150</v>
      </c>
      <c r="C24">
        <f t="shared" si="0"/>
        <v>169.66416258654729</v>
      </c>
      <c r="D24">
        <f t="shared" si="1"/>
        <v>2.0382436158697397</v>
      </c>
      <c r="E24" s="37">
        <f t="shared" si="2"/>
        <v>0.92662094367181047</v>
      </c>
      <c r="F24">
        <f t="shared" si="3"/>
        <v>160.41440136797146</v>
      </c>
      <c r="G24">
        <f t="shared" si="4"/>
        <v>-10.414401367971465</v>
      </c>
      <c r="H24">
        <f t="shared" si="5"/>
        <v>108.45975585320592</v>
      </c>
    </row>
    <row r="25" spans="1:8">
      <c r="A25" s="26">
        <v>9</v>
      </c>
      <c r="B25" s="27">
        <v>159</v>
      </c>
      <c r="C25">
        <f t="shared" si="0"/>
        <v>168.36817787021948</v>
      </c>
      <c r="D25">
        <f t="shared" si="1"/>
        <v>1.26105270490801</v>
      </c>
      <c r="E25" s="37">
        <f t="shared" si="2"/>
        <v>0.98849075287229571</v>
      </c>
      <c r="F25">
        <f t="shared" si="3"/>
        <v>169.72624077701195</v>
      </c>
      <c r="G25">
        <f t="shared" si="4"/>
        <v>-10.726240777011952</v>
      </c>
      <c r="H25">
        <f t="shared" si="5"/>
        <v>115.05224120643398</v>
      </c>
    </row>
    <row r="26" spans="1:8">
      <c r="A26" s="26">
        <v>10</v>
      </c>
      <c r="B26" s="27">
        <v>169</v>
      </c>
      <c r="C26">
        <f t="shared" si="0"/>
        <v>168.60798032865122</v>
      </c>
      <c r="D26">
        <f t="shared" si="1"/>
        <v>1.0230046979031475</v>
      </c>
      <c r="E26" s="37">
        <f t="shared" si="2"/>
        <v>1.0162014531884298</v>
      </c>
      <c r="F26">
        <f t="shared" si="3"/>
        <v>172.37747061367978</v>
      </c>
      <c r="G26">
        <f t="shared" si="4"/>
        <v>-3.3774706136797761</v>
      </c>
      <c r="H26">
        <f t="shared" si="5"/>
        <v>11.407307746270444</v>
      </c>
    </row>
    <row r="27" spans="1:8">
      <c r="A27" s="26">
        <v>11</v>
      </c>
      <c r="B27" s="27">
        <v>173</v>
      </c>
      <c r="C27">
        <f t="shared" si="0"/>
        <v>168.22892878359229</v>
      </c>
      <c r="D27">
        <f t="shared" si="1"/>
        <v>0.69619283617047811</v>
      </c>
      <c r="E27" s="37">
        <f t="shared" si="2"/>
        <v>1.0480526558060541</v>
      </c>
      <c r="F27">
        <f t="shared" si="3"/>
        <v>177.78220436407733</v>
      </c>
      <c r="G27">
        <f t="shared" si="4"/>
        <v>-4.7822043640773302</v>
      </c>
      <c r="H27">
        <f t="shared" si="5"/>
        <v>22.869478579800262</v>
      </c>
    </row>
    <row r="28" spans="1:8">
      <c r="A28" s="26">
        <v>12</v>
      </c>
      <c r="B28" s="27">
        <v>203</v>
      </c>
      <c r="C28">
        <f t="shared" si="0"/>
        <v>168.82643943642501</v>
      </c>
      <c r="D28">
        <f t="shared" si="1"/>
        <v>0.67319054348903484</v>
      </c>
      <c r="E28" s="37">
        <f t="shared" si="2"/>
        <v>1.2040049076184032</v>
      </c>
      <c r="F28">
        <f t="shared" si="3"/>
        <v>203.38667545022997</v>
      </c>
      <c r="G28">
        <f t="shared" si="4"/>
        <v>-0.38667545022997274</v>
      </c>
      <c r="H28">
        <f t="shared" si="5"/>
        <v>0.14951790381055213</v>
      </c>
    </row>
    <row r="29" spans="1:8">
      <c r="A29" s="26">
        <v>13</v>
      </c>
      <c r="B29" s="27">
        <v>169</v>
      </c>
      <c r="C29">
        <f t="shared" si="0"/>
        <v>169.96440767111355</v>
      </c>
      <c r="D29">
        <f t="shared" si="1"/>
        <v>0.78152775415030185</v>
      </c>
      <c r="E29" s="37">
        <f t="shared" si="2"/>
        <v>0.98823339924446252</v>
      </c>
      <c r="F29">
        <f t="shared" si="3"/>
        <v>167.50519550572906</v>
      </c>
      <c r="G29">
        <f t="shared" si="4"/>
        <v>1.4948044942709373</v>
      </c>
      <c r="H29">
        <f t="shared" si="5"/>
        <v>2.2344404760925927</v>
      </c>
    </row>
    <row r="30" spans="1:8">
      <c r="A30" s="26">
        <v>14</v>
      </c>
      <c r="B30" s="27">
        <v>166</v>
      </c>
      <c r="C30">
        <f t="shared" si="0"/>
        <v>167.35135099667301</v>
      </c>
      <c r="D30">
        <f t="shared" si="1"/>
        <v>-9.7318422355865408E-3</v>
      </c>
      <c r="E30" s="37">
        <f t="shared" si="2"/>
        <v>1.0394595142086607</v>
      </c>
      <c r="F30">
        <f t="shared" si="3"/>
        <v>177.4834870902481</v>
      </c>
      <c r="G30">
        <f t="shared" si="4"/>
        <v>-11.483487090248104</v>
      </c>
      <c r="H30">
        <f t="shared" si="5"/>
        <v>131.87047575189487</v>
      </c>
    </row>
    <row r="31" spans="1:8">
      <c r="A31" s="26">
        <v>15</v>
      </c>
      <c r="B31" s="27">
        <v>162</v>
      </c>
      <c r="C31">
        <f t="shared" si="0"/>
        <v>169.27872309952917</v>
      </c>
      <c r="D31">
        <f t="shared" si="1"/>
        <v>0.4417967963928231</v>
      </c>
      <c r="E31" s="37">
        <f t="shared" si="2"/>
        <v>0.93293329171244777</v>
      </c>
      <c r="F31">
        <f t="shared" si="3"/>
        <v>156.11856759824011</v>
      </c>
      <c r="G31">
        <f t="shared" si="4"/>
        <v>5.8814324017598949</v>
      </c>
      <c r="H31">
        <f t="shared" si="5"/>
        <v>34.591247096471164</v>
      </c>
    </row>
    <row r="32" spans="1:8">
      <c r="A32" s="26">
        <v>16</v>
      </c>
      <c r="B32" s="27">
        <v>147</v>
      </c>
      <c r="C32">
        <f t="shared" si="0"/>
        <v>167.06512613854198</v>
      </c>
      <c r="D32">
        <f t="shared" si="1"/>
        <v>-0.17716138152539063</v>
      </c>
      <c r="E32" s="37">
        <f t="shared" si="2"/>
        <v>0.91259775591054715</v>
      </c>
      <c r="F32">
        <f t="shared" si="3"/>
        <v>154.88656558898978</v>
      </c>
      <c r="G32">
        <f t="shared" si="4"/>
        <v>-7.8865655889897823</v>
      </c>
      <c r="H32">
        <f t="shared" si="5"/>
        <v>62.197916789437755</v>
      </c>
    </row>
    <row r="33" spans="1:8">
      <c r="A33" s="26">
        <v>17</v>
      </c>
      <c r="B33" s="27">
        <v>188</v>
      </c>
      <c r="C33">
        <f t="shared" si="0"/>
        <v>170.99293557924622</v>
      </c>
      <c r="D33">
        <f t="shared" si="1"/>
        <v>0.77968550925046276</v>
      </c>
      <c r="E33" s="37">
        <f t="shared" si="2"/>
        <v>1.0430106047420362</v>
      </c>
      <c r="F33">
        <f t="shared" si="3"/>
        <v>174.06591704538351</v>
      </c>
      <c r="G33">
        <f t="shared" si="4"/>
        <v>13.934082954616485</v>
      </c>
      <c r="H33">
        <f t="shared" si="5"/>
        <v>194.15866778613369</v>
      </c>
    </row>
    <row r="34" spans="1:8">
      <c r="A34" s="26">
        <v>18</v>
      </c>
      <c r="B34" s="27">
        <v>161</v>
      </c>
      <c r="C34">
        <f t="shared" si="0"/>
        <v>173.56856376765467</v>
      </c>
      <c r="D34">
        <f t="shared" si="1"/>
        <v>1.1983102067167866</v>
      </c>
      <c r="E34" s="37">
        <f t="shared" si="2"/>
        <v>0.90644245153667458</v>
      </c>
      <c r="F34">
        <f t="shared" si="3"/>
        <v>155.70199576633723</v>
      </c>
      <c r="G34">
        <f t="shared" si="4"/>
        <v>5.2980042336627662</v>
      </c>
      <c r="H34">
        <f t="shared" si="5"/>
        <v>28.068848859908595</v>
      </c>
    </row>
    <row r="35" spans="1:8">
      <c r="A35" s="26">
        <v>19</v>
      </c>
      <c r="B35" s="27">
        <v>162</v>
      </c>
      <c r="C35">
        <f t="shared" si="0"/>
        <v>175.12328116997088</v>
      </c>
      <c r="D35">
        <f t="shared" si="1"/>
        <v>1.2813868305779537</v>
      </c>
      <c r="E35" s="37">
        <f t="shared" si="2"/>
        <v>0.92083758937691518</v>
      </c>
      <c r="F35">
        <f t="shared" si="3"/>
        <v>160.93190693349936</v>
      </c>
      <c r="G35">
        <f t="shared" si="4"/>
        <v>1.0680930665006372</v>
      </c>
      <c r="H35">
        <f t="shared" si="5"/>
        <v>1.1408227987067345</v>
      </c>
    </row>
    <row r="36" spans="1:8">
      <c r="A36" s="26">
        <v>20</v>
      </c>
      <c r="B36" s="27">
        <v>169</v>
      </c>
      <c r="C36">
        <f t="shared" si="0"/>
        <v>178.24166176687069</v>
      </c>
      <c r="D36">
        <f t="shared" si="1"/>
        <v>1.7095803183759961</v>
      </c>
      <c r="E36" s="37">
        <f t="shared" si="2"/>
        <v>0.92662094367181047</v>
      </c>
      <c r="F36">
        <f t="shared" si="3"/>
        <v>163.46025993078098</v>
      </c>
      <c r="G36">
        <f t="shared" si="4"/>
        <v>5.5397400692190217</v>
      </c>
      <c r="H36">
        <f t="shared" si="5"/>
        <v>30.688720034510773</v>
      </c>
    </row>
    <row r="37" spans="1:8">
      <c r="A37" s="26">
        <v>21</v>
      </c>
      <c r="B37" s="27">
        <v>185</v>
      </c>
      <c r="C37">
        <f t="shared" si="0"/>
        <v>182.16443527480206</v>
      </c>
      <c r="D37">
        <f t="shared" si="1"/>
        <v>2.2254638931494037</v>
      </c>
      <c r="E37" s="37">
        <f t="shared" si="2"/>
        <v>0.98849075287229571</v>
      </c>
      <c r="F37">
        <f t="shared" si="3"/>
        <v>177.88013876915025</v>
      </c>
      <c r="G37">
        <f t="shared" si="4"/>
        <v>7.1198612308497502</v>
      </c>
      <c r="H37">
        <f t="shared" si="5"/>
        <v>50.692423946557319</v>
      </c>
    </row>
    <row r="38" spans="1:8">
      <c r="A38" s="26">
        <v>22</v>
      </c>
      <c r="B38" s="27">
        <v>188</v>
      </c>
      <c r="C38">
        <f t="shared" si="0"/>
        <v>184.57819078151999</v>
      </c>
      <c r="D38">
        <f t="shared" si="1"/>
        <v>2.2693536679625548</v>
      </c>
      <c r="E38" s="37">
        <f t="shared" si="2"/>
        <v>1.0162014531884298</v>
      </c>
      <c r="F38">
        <f t="shared" si="3"/>
        <v>187.3772834877403</v>
      </c>
      <c r="G38">
        <f t="shared" si="4"/>
        <v>0.62271651225970004</v>
      </c>
      <c r="H38">
        <f t="shared" si="5"/>
        <v>0.38777585464088515</v>
      </c>
    </row>
    <row r="39" spans="1:8">
      <c r="A39" s="26">
        <v>23</v>
      </c>
      <c r="B39" s="27">
        <v>200</v>
      </c>
      <c r="C39">
        <f t="shared" si="0"/>
        <v>188.07126700731936</v>
      </c>
      <c r="D39">
        <f t="shared" si="1"/>
        <v>2.5545968951001474</v>
      </c>
      <c r="E39" s="37">
        <f t="shared" si="2"/>
        <v>1.0480526558060541</v>
      </c>
      <c r="F39">
        <f t="shared" si="3"/>
        <v>195.82606519111991</v>
      </c>
      <c r="G39">
        <f t="shared" si="4"/>
        <v>4.1739348088800909</v>
      </c>
      <c r="H39">
        <f t="shared" si="5"/>
        <v>17.421731788780882</v>
      </c>
    </row>
    <row r="40" spans="1:8">
      <c r="A40" s="26">
        <v>24</v>
      </c>
      <c r="B40" s="27">
        <v>229</v>
      </c>
      <c r="C40">
        <f t="shared" si="0"/>
        <v>190.49456624406776</v>
      </c>
      <c r="D40">
        <f t="shared" si="1"/>
        <v>2.5239921084644661</v>
      </c>
      <c r="E40" s="37">
        <f t="shared" si="2"/>
        <v>1.2040049076184032</v>
      </c>
      <c r="F40">
        <f t="shared" si="3"/>
        <v>229.51447565751093</v>
      </c>
      <c r="G40">
        <f t="shared" si="4"/>
        <v>-0.51447565751092839</v>
      </c>
      <c r="H40">
        <f t="shared" si="5"/>
        <v>0.26468520217130209</v>
      </c>
    </row>
    <row r="41" spans="1:8">
      <c r="A41" s="26">
        <v>25</v>
      </c>
      <c r="B41" s="27">
        <v>189</v>
      </c>
      <c r="C41">
        <f t="shared" si="0"/>
        <v>192.47524579795851</v>
      </c>
      <c r="D41">
        <f t="shared" si="1"/>
        <v>2.3973488383715078</v>
      </c>
      <c r="E41" s="37">
        <f t="shared" si="2"/>
        <v>0.98823339924446252</v>
      </c>
      <c r="F41">
        <f t="shared" si="3"/>
        <v>190.74738603798855</v>
      </c>
      <c r="G41">
        <f t="shared" si="4"/>
        <v>-1.747386037988548</v>
      </c>
      <c r="H41">
        <f t="shared" si="5"/>
        <v>3.0533579657573151</v>
      </c>
    </row>
    <row r="42" spans="1:8">
      <c r="A42" s="26">
        <v>26</v>
      </c>
      <c r="B42" s="27">
        <v>218</v>
      </c>
      <c r="C42">
        <f t="shared" si="0"/>
        <v>199.43610467906569</v>
      </c>
      <c r="D42">
        <f t="shared" si="1"/>
        <v>3.4610787854322052</v>
      </c>
      <c r="E42" s="37">
        <f t="shared" si="2"/>
        <v>1.0394595142086607</v>
      </c>
      <c r="F42">
        <f t="shared" si="3"/>
        <v>202.56217255326084</v>
      </c>
      <c r="G42">
        <f t="shared" si="4"/>
        <v>15.437827446739163</v>
      </c>
      <c r="H42">
        <f t="shared" si="5"/>
        <v>238.32651627529305</v>
      </c>
    </row>
    <row r="43" spans="1:8">
      <c r="A43" s="26">
        <v>27</v>
      </c>
      <c r="B43" s="27">
        <v>185</v>
      </c>
      <c r="C43">
        <f t="shared" si="0"/>
        <v>201.48438485363158</v>
      </c>
      <c r="D43">
        <f t="shared" si="1"/>
        <v>3.1317629348104883</v>
      </c>
      <c r="E43" s="37">
        <f t="shared" si="2"/>
        <v>0.93293329171244777</v>
      </c>
      <c r="F43">
        <f t="shared" si="3"/>
        <v>189.28953724871843</v>
      </c>
      <c r="G43">
        <f t="shared" si="4"/>
        <v>-4.2895372487184318</v>
      </c>
      <c r="H43">
        <f t="shared" si="5"/>
        <v>18.400129808142893</v>
      </c>
    </row>
    <row r="44" spans="1:8">
      <c r="A44" s="26">
        <v>28</v>
      </c>
      <c r="B44" s="27">
        <v>199</v>
      </c>
      <c r="C44">
        <f t="shared" si="0"/>
        <v>208.7466834616512</v>
      </c>
      <c r="D44">
        <f t="shared" si="1"/>
        <v>4.0945688565349689</v>
      </c>
      <c r="E44" s="37">
        <f t="shared" si="2"/>
        <v>0.91259775591054715</v>
      </c>
      <c r="F44">
        <f t="shared" si="3"/>
        <v>186.73223729479309</v>
      </c>
      <c r="G44">
        <f t="shared" si="4"/>
        <v>12.267762705206906</v>
      </c>
      <c r="H44">
        <f t="shared" si="5"/>
        <v>150.49800179126547</v>
      </c>
    </row>
    <row r="45" spans="1:8">
      <c r="A45" s="26">
        <v>29</v>
      </c>
      <c r="B45" s="27">
        <v>210</v>
      </c>
      <c r="C45">
        <f t="shared" si="0"/>
        <v>209.30733264246871</v>
      </c>
      <c r="D45">
        <f t="shared" si="1"/>
        <v>3.2708309542701115</v>
      </c>
      <c r="E45" s="37">
        <f t="shared" si="2"/>
        <v>1.0430106047420362</v>
      </c>
      <c r="F45">
        <f t="shared" si="3"/>
        <v>221.99568329444369</v>
      </c>
      <c r="G45">
        <f t="shared" si="4"/>
        <v>-11.995683294443694</v>
      </c>
      <c r="H45">
        <f t="shared" si="5"/>
        <v>143.89641770059552</v>
      </c>
    </row>
    <row r="46" spans="1:8">
      <c r="A46" s="26">
        <v>30</v>
      </c>
      <c r="B46" s="27">
        <v>193</v>
      </c>
      <c r="C46">
        <f t="shared" si="0"/>
        <v>212.6832923450018</v>
      </c>
      <c r="D46">
        <f t="shared" si="1"/>
        <v>3.2953359069878907</v>
      </c>
      <c r="E46" s="37">
        <f t="shared" si="2"/>
        <v>0.90644245153667458</v>
      </c>
      <c r="F46">
        <f t="shared" si="3"/>
        <v>192.6898717537922</v>
      </c>
      <c r="G46">
        <f t="shared" si="4"/>
        <v>0.31012824620779611</v>
      </c>
      <c r="H46">
        <f t="shared" si="5"/>
        <v>9.6179529095923408E-2</v>
      </c>
    </row>
    <row r="47" spans="1:8">
      <c r="A47" s="26">
        <v>31</v>
      </c>
      <c r="B47" s="27">
        <v>211</v>
      </c>
      <c r="C47">
        <f t="shared" si="0"/>
        <v>220.0224832458122</v>
      </c>
      <c r="D47">
        <f t="shared" si="1"/>
        <v>4.2379370228432807</v>
      </c>
      <c r="E47" s="37">
        <f t="shared" si="2"/>
        <v>0.92083758937691518</v>
      </c>
      <c r="F47">
        <f t="shared" si="3"/>
        <v>198.88123939649512</v>
      </c>
      <c r="G47">
        <f t="shared" si="4"/>
        <v>12.118760603504882</v>
      </c>
      <c r="H47">
        <f t="shared" si="5"/>
        <v>146.86435856506199</v>
      </c>
    </row>
    <row r="48" spans="1:8">
      <c r="A48" s="26">
        <v>32</v>
      </c>
      <c r="B48" s="27">
        <v>208</v>
      </c>
      <c r="C48">
        <f t="shared" si="0"/>
        <v>224.32528104353761</v>
      </c>
      <c r="D48">
        <f t="shared" si="1"/>
        <v>4.2530557248918335</v>
      </c>
      <c r="E48" s="37">
        <f t="shared" si="2"/>
        <v>0.92662094367181047</v>
      </c>
      <c r="F48">
        <f t="shared" si="3"/>
        <v>207.80440225757835</v>
      </c>
      <c r="G48">
        <f t="shared" si="4"/>
        <v>0.19559774242165417</v>
      </c>
      <c r="H48">
        <f t="shared" si="5"/>
        <v>3.8258476840447773E-2</v>
      </c>
    </row>
    <row r="49" spans="1:8">
      <c r="A49" s="26">
        <v>33</v>
      </c>
      <c r="B49" s="27">
        <v>216</v>
      </c>
      <c r="C49">
        <f t="shared" si="0"/>
        <v>225.48615584840829</v>
      </c>
      <c r="D49">
        <f t="shared" si="1"/>
        <v>3.5322847798180712</v>
      </c>
      <c r="E49" s="37">
        <f t="shared" si="2"/>
        <v>0.98849075287229571</v>
      </c>
      <c r="F49">
        <f t="shared" si="3"/>
        <v>225.94757220252197</v>
      </c>
      <c r="G49">
        <f t="shared" si="4"/>
        <v>-9.9475722025219682</v>
      </c>
      <c r="H49">
        <f t="shared" si="5"/>
        <v>98.954192724387767</v>
      </c>
    </row>
    <row r="50" spans="1:8">
      <c r="A50" s="26">
        <v>34</v>
      </c>
      <c r="B50" s="27">
        <v>218</v>
      </c>
      <c r="C50">
        <f t="shared" si="0"/>
        <v>224.56485211248071</v>
      </c>
      <c r="D50">
        <f t="shared" si="1"/>
        <v>2.494176956734524</v>
      </c>
      <c r="E50" s="37">
        <f t="shared" si="2"/>
        <v>1.0162014531884298</v>
      </c>
      <c r="F50">
        <f t="shared" si="3"/>
        <v>232.72887217335176</v>
      </c>
      <c r="G50">
        <f t="shared" si="4"/>
        <v>-14.72887217335176</v>
      </c>
      <c r="H50">
        <f t="shared" si="5"/>
        <v>216.9396754989358</v>
      </c>
    </row>
    <row r="51" spans="1:8">
      <c r="A51" s="26">
        <v>35</v>
      </c>
      <c r="B51" s="27">
        <v>264</v>
      </c>
      <c r="C51">
        <f t="shared" si="0"/>
        <v>234.69060977596018</v>
      </c>
      <c r="D51">
        <f t="shared" si="1"/>
        <v>4.2730578762796876</v>
      </c>
      <c r="E51" s="37">
        <f t="shared" si="2"/>
        <v>1.0480526558060541</v>
      </c>
      <c r="F51">
        <f t="shared" si="3"/>
        <v>237.96981844073505</v>
      </c>
      <c r="G51">
        <f t="shared" si="4"/>
        <v>26.030181559264946</v>
      </c>
      <c r="H51">
        <f t="shared" si="5"/>
        <v>677.57035200829682</v>
      </c>
    </row>
    <row r="52" spans="1:8">
      <c r="A52" s="29">
        <v>36</v>
      </c>
      <c r="B52" s="30">
        <v>304</v>
      </c>
      <c r="C52">
        <f t="shared" si="0"/>
        <v>243.12011054070862</v>
      </c>
      <c r="D52">
        <f t="shared" si="1"/>
        <v>5.2419026322476636</v>
      </c>
      <c r="E52" s="37">
        <f t="shared" si="2"/>
        <v>1.2040049076184032</v>
      </c>
      <c r="F52">
        <f t="shared" si="3"/>
        <v>287.71342859578988</v>
      </c>
      <c r="G52">
        <f t="shared" si="4"/>
        <v>16.286571404210122</v>
      </c>
      <c r="H52">
        <f>G52^2</f>
        <v>265.25240810443483</v>
      </c>
    </row>
    <row r="53" spans="1:8">
      <c r="A53" s="26">
        <v>37</v>
      </c>
      <c r="C53">
        <f>(C$52+(A53-A$52)*D$52)*E41</f>
        <v>245.43963652110858</v>
      </c>
    </row>
    <row r="54" spans="1:8">
      <c r="A54" s="26">
        <v>38</v>
      </c>
      <c r="C54">
        <f t="shared" ref="C54:C64" si="6">(C$52+(A54-A$52)*D$52)*E42</f>
        <v>263.61100312429136</v>
      </c>
    </row>
    <row r="55" spans="1:8">
      <c r="A55" s="26">
        <v>39</v>
      </c>
      <c r="C55">
        <f t="shared" si="6"/>
        <v>241.48588144085434</v>
      </c>
    </row>
    <row r="56" spans="1:8">
      <c r="A56" s="29">
        <v>40</v>
      </c>
      <c r="C56">
        <f t="shared" si="6"/>
        <v>241.00586161173808</v>
      </c>
    </row>
    <row r="57" spans="1:8">
      <c r="A57" s="26">
        <v>41</v>
      </c>
      <c r="C57">
        <f t="shared" si="6"/>
        <v>280.91365369231272</v>
      </c>
    </row>
    <row r="58" spans="1:8">
      <c r="A58" s="26">
        <v>42</v>
      </c>
      <c r="C58">
        <f t="shared" si="6"/>
        <v>248.88328745253398</v>
      </c>
    </row>
    <row r="59" spans="1:8">
      <c r="A59" s="26">
        <v>43</v>
      </c>
      <c r="C59">
        <f t="shared" si="6"/>
        <v>257.66272340474734</v>
      </c>
    </row>
    <row r="60" spans="1:8">
      <c r="A60" s="29">
        <v>44</v>
      </c>
      <c r="C60">
        <f t="shared" si="6"/>
        <v>264.13824036465888</v>
      </c>
    </row>
    <row r="61" spans="1:8">
      <c r="A61" s="26">
        <v>45</v>
      </c>
      <c r="C61">
        <f t="shared" si="6"/>
        <v>286.95613162168468</v>
      </c>
    </row>
    <row r="62" spans="1:8">
      <c r="A62" s="26">
        <v>46</v>
      </c>
      <c r="C62">
        <f t="shared" si="6"/>
        <v>300.32730035442313</v>
      </c>
    </row>
    <row r="63" spans="1:8">
      <c r="A63" s="26">
        <v>47</v>
      </c>
      <c r="C63">
        <f t="shared" si="6"/>
        <v>315.23436725929412</v>
      </c>
    </row>
    <row r="64" spans="1:8">
      <c r="A64" s="29">
        <v>48</v>
      </c>
      <c r="C64">
        <f t="shared" si="6"/>
        <v>368.45312416555004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tabSelected="1" topLeftCell="A41" workbookViewId="0">
      <selection activeCell="B58" sqref="B58"/>
    </sheetView>
  </sheetViews>
  <sheetFormatPr baseColWidth="10" defaultRowHeight="15" x14ac:dyDescent="0"/>
  <sheetData>
    <row r="1" spans="1:8">
      <c r="C1" t="s">
        <v>40</v>
      </c>
      <c r="D1" t="s">
        <v>41</v>
      </c>
      <c r="E1" s="37" t="s">
        <v>61</v>
      </c>
      <c r="G1" t="s">
        <v>7</v>
      </c>
      <c r="H1">
        <f>SUM(H17:H52)</f>
        <v>3555.9498719706899</v>
      </c>
    </row>
    <row r="2" spans="1:8">
      <c r="C2">
        <v>0.30727017441242005</v>
      </c>
      <c r="D2">
        <v>0.2330946874443651</v>
      </c>
      <c r="E2" s="37">
        <v>0</v>
      </c>
      <c r="G2" t="s">
        <v>42</v>
      </c>
      <c r="H2">
        <f>SQRT(H1/(36-3))</f>
        <v>10.380561484158001</v>
      </c>
    </row>
    <row r="3" spans="1:8">
      <c r="E3" s="37"/>
    </row>
    <row r="4" spans="1:8">
      <c r="A4" s="15" t="s">
        <v>1</v>
      </c>
      <c r="B4" s="16" t="s">
        <v>0</v>
      </c>
      <c r="C4" t="s">
        <v>12</v>
      </c>
      <c r="D4" t="s">
        <v>28</v>
      </c>
      <c r="E4" s="37" t="s">
        <v>60</v>
      </c>
      <c r="F4" t="s">
        <v>35</v>
      </c>
      <c r="G4" t="s">
        <v>36</v>
      </c>
      <c r="H4" t="s">
        <v>7</v>
      </c>
    </row>
    <row r="5" spans="1:8">
      <c r="A5" s="31">
        <v>-11</v>
      </c>
      <c r="B5" s="32"/>
      <c r="E5" s="37">
        <v>0.98823339924446252</v>
      </c>
    </row>
    <row r="6" spans="1:8">
      <c r="A6" s="31">
        <v>-10</v>
      </c>
      <c r="B6" s="32"/>
      <c r="E6" s="37">
        <v>1.0394595142086607</v>
      </c>
    </row>
    <row r="7" spans="1:8">
      <c r="A7" s="31">
        <v>-9</v>
      </c>
      <c r="B7" s="32"/>
      <c r="E7" s="37">
        <v>0.93293329171244777</v>
      </c>
    </row>
    <row r="8" spans="1:8">
      <c r="A8" s="31">
        <v>-8</v>
      </c>
      <c r="B8" s="32"/>
      <c r="E8" s="37">
        <v>0.91259775591054715</v>
      </c>
    </row>
    <row r="9" spans="1:8">
      <c r="A9" s="31">
        <v>-7</v>
      </c>
      <c r="B9" s="32"/>
      <c r="E9" s="37">
        <v>1.0430106047420362</v>
      </c>
    </row>
    <row r="10" spans="1:8">
      <c r="A10" s="31">
        <v>-6</v>
      </c>
      <c r="B10" s="32"/>
      <c r="E10" s="37">
        <v>0.90644245153667458</v>
      </c>
    </row>
    <row r="11" spans="1:8">
      <c r="A11" s="31">
        <v>-5</v>
      </c>
      <c r="B11" s="32"/>
      <c r="E11" s="37">
        <v>0.92083758937691518</v>
      </c>
    </row>
    <row r="12" spans="1:8">
      <c r="A12" s="31">
        <v>-4</v>
      </c>
      <c r="B12" s="32"/>
      <c r="E12" s="37">
        <v>0.92662094367181047</v>
      </c>
    </row>
    <row r="13" spans="1:8">
      <c r="A13" s="31">
        <v>-3</v>
      </c>
      <c r="B13" s="32"/>
      <c r="E13" s="37">
        <v>0.98849075287229571</v>
      </c>
    </row>
    <row r="14" spans="1:8">
      <c r="A14" s="31">
        <v>-2</v>
      </c>
      <c r="B14" s="32"/>
      <c r="E14" s="37">
        <v>1.0162014531884298</v>
      </c>
    </row>
    <row r="15" spans="1:8">
      <c r="A15" s="31">
        <v>-1</v>
      </c>
      <c r="B15" s="32"/>
      <c r="E15" s="37">
        <v>1.0480526558060541</v>
      </c>
    </row>
    <row r="16" spans="1:8">
      <c r="A16" s="31">
        <v>0</v>
      </c>
      <c r="B16" s="32"/>
      <c r="C16">
        <v>144.41999999999999</v>
      </c>
      <c r="D16">
        <v>2.29</v>
      </c>
      <c r="E16" s="37">
        <v>1.2040049076184032</v>
      </c>
    </row>
    <row r="17" spans="1:8">
      <c r="A17" s="26">
        <v>1</v>
      </c>
      <c r="B17" s="27">
        <v>165</v>
      </c>
      <c r="C17">
        <f>C16+D16+$C$2*(G17/E5)</f>
        <v>152.93363627446735</v>
      </c>
      <c r="D17">
        <f>D16+$D$2*($C$2*G17/E5)</f>
        <v>3.7406965521643838</v>
      </c>
      <c r="E17" s="37">
        <f>E5+$E$2*(1-$C$2)*G17/(C16+D16)</f>
        <v>0.98823339924446252</v>
      </c>
      <c r="F17">
        <f>(C16+D16)*E5</f>
        <v>144.98372200315507</v>
      </c>
      <c r="G17">
        <f>B17-F17</f>
        <v>20.016277996844934</v>
      </c>
      <c r="H17">
        <f>G17^2</f>
        <v>400.65138484697866</v>
      </c>
    </row>
    <row r="18" spans="1:8">
      <c r="A18" s="26">
        <v>2</v>
      </c>
      <c r="B18" s="27">
        <v>171</v>
      </c>
      <c r="C18">
        <f t="shared" ref="C18:C52" si="0">C17+D17+$C$2*(G18/E6)</f>
        <v>159.081560765006</v>
      </c>
      <c r="D18">
        <f t="shared" ref="D18:D52" si="1">D17+$D$2*($C$2*G18/E6)</f>
        <v>4.301808596067076</v>
      </c>
      <c r="E18" s="37">
        <f t="shared" ref="E18:E52" si="2">E6+$E$2*(1-$C$2)*G18/(C17+D17)</f>
        <v>1.0394595142086607</v>
      </c>
      <c r="F18">
        <f t="shared" ref="F18:F52" si="3">(C17+D17)*E6</f>
        <v>162.85662588893663</v>
      </c>
      <c r="G18">
        <f t="shared" ref="G18:G52" si="4">B18-F18</f>
        <v>8.1433741110633662</v>
      </c>
      <c r="H18">
        <f t="shared" ref="H18:H51" si="5">G18^2</f>
        <v>66.31454191273707</v>
      </c>
    </row>
    <row r="19" spans="1:8">
      <c r="A19" s="26">
        <v>3</v>
      </c>
      <c r="B19" s="27">
        <v>147</v>
      </c>
      <c r="C19">
        <f t="shared" si="0"/>
        <v>161.59633722080534</v>
      </c>
      <c r="D19">
        <f t="shared" si="1"/>
        <v>3.8852608978783305</v>
      </c>
      <c r="E19" s="37">
        <f t="shared" si="2"/>
        <v>0.93293329171244777</v>
      </c>
      <c r="F19">
        <f t="shared" si="3"/>
        <v>152.42578458909659</v>
      </c>
      <c r="G19">
        <f t="shared" si="4"/>
        <v>-5.4257845890965939</v>
      </c>
      <c r="H19">
        <f t="shared" si="5"/>
        <v>29.439138407278094</v>
      </c>
    </row>
    <row r="20" spans="1:8">
      <c r="A20" s="26">
        <v>4</v>
      </c>
      <c r="B20" s="27">
        <v>143</v>
      </c>
      <c r="C20">
        <f t="shared" si="0"/>
        <v>162.78190512593517</v>
      </c>
      <c r="D20">
        <f t="shared" si="1"/>
        <v>3.2559768035378713</v>
      </c>
      <c r="E20" s="37">
        <f t="shared" si="2"/>
        <v>0.91259775591054715</v>
      </c>
      <c r="F20">
        <f t="shared" si="3"/>
        <v>151.01813508760173</v>
      </c>
      <c r="G20">
        <f t="shared" si="4"/>
        <v>-8.0181350876017348</v>
      </c>
      <c r="H20">
        <f t="shared" si="5"/>
        <v>64.290490283030081</v>
      </c>
    </row>
    <row r="21" spans="1:8">
      <c r="A21" s="26">
        <v>5</v>
      </c>
      <c r="B21" s="27">
        <v>164</v>
      </c>
      <c r="C21">
        <f t="shared" si="0"/>
        <v>163.33367510224417</v>
      </c>
      <c r="D21">
        <f t="shared" si="1"/>
        <v>2.6256405583600428</v>
      </c>
      <c r="E21" s="37">
        <f t="shared" si="2"/>
        <v>1.0430106047420362</v>
      </c>
      <c r="F21">
        <f t="shared" si="3"/>
        <v>173.17927164134647</v>
      </c>
      <c r="G21">
        <f t="shared" si="4"/>
        <v>-9.1792716413464746</v>
      </c>
      <c r="H21">
        <f t="shared" si="5"/>
        <v>84.259027865627601</v>
      </c>
    </row>
    <row r="22" spans="1:8">
      <c r="A22" s="26">
        <v>6</v>
      </c>
      <c r="B22" s="27">
        <v>160</v>
      </c>
      <c r="C22">
        <f t="shared" si="0"/>
        <v>169.20252895523444</v>
      </c>
      <c r="D22">
        <f t="shared" si="1"/>
        <v>3.3816163475872858</v>
      </c>
      <c r="E22" s="37">
        <f t="shared" si="2"/>
        <v>0.90644245153667458</v>
      </c>
      <c r="F22">
        <f t="shared" si="3"/>
        <v>150.43256894274691</v>
      </c>
      <c r="G22">
        <f t="shared" si="4"/>
        <v>9.5674310572530885</v>
      </c>
      <c r="H22">
        <f t="shared" si="5"/>
        <v>91.53573703529095</v>
      </c>
    </row>
    <row r="23" spans="1:8">
      <c r="A23" s="26">
        <v>7</v>
      </c>
      <c r="B23" s="27">
        <v>152</v>
      </c>
      <c r="C23">
        <f t="shared" si="0"/>
        <v>170.27438466844185</v>
      </c>
      <c r="D23">
        <f t="shared" si="1"/>
        <v>2.8432234144452124</v>
      </c>
      <c r="E23" s="37">
        <f t="shared" si="2"/>
        <v>0.92083758937691518</v>
      </c>
      <c r="F23">
        <f t="shared" si="3"/>
        <v>158.92196832532562</v>
      </c>
      <c r="G23">
        <f t="shared" si="4"/>
        <v>-6.9219683253256221</v>
      </c>
      <c r="H23">
        <f t="shared" si="5"/>
        <v>47.913645496811199</v>
      </c>
    </row>
    <row r="24" spans="1:8">
      <c r="A24" s="26">
        <v>8</v>
      </c>
      <c r="B24" s="27">
        <v>150</v>
      </c>
      <c r="C24">
        <f t="shared" si="0"/>
        <v>169.66416258654729</v>
      </c>
      <c r="D24">
        <f t="shared" si="1"/>
        <v>2.0382436158697397</v>
      </c>
      <c r="E24" s="37">
        <f t="shared" si="2"/>
        <v>0.92662094367181047</v>
      </c>
      <c r="F24">
        <f t="shared" si="3"/>
        <v>160.41440136797146</v>
      </c>
      <c r="G24">
        <f t="shared" si="4"/>
        <v>-10.414401367971465</v>
      </c>
      <c r="H24">
        <f t="shared" si="5"/>
        <v>108.45975585320592</v>
      </c>
    </row>
    <row r="25" spans="1:8">
      <c r="A25" s="26">
        <v>9</v>
      </c>
      <c r="B25" s="27">
        <v>159</v>
      </c>
      <c r="C25">
        <f t="shared" si="0"/>
        <v>168.36817787021948</v>
      </c>
      <c r="D25">
        <f t="shared" si="1"/>
        <v>1.26105270490801</v>
      </c>
      <c r="E25" s="37">
        <f t="shared" si="2"/>
        <v>0.98849075287229571</v>
      </c>
      <c r="F25">
        <f t="shared" si="3"/>
        <v>169.72624077701195</v>
      </c>
      <c r="G25">
        <f t="shared" si="4"/>
        <v>-10.726240777011952</v>
      </c>
      <c r="H25">
        <f t="shared" si="5"/>
        <v>115.05224120643398</v>
      </c>
    </row>
    <row r="26" spans="1:8">
      <c r="A26" s="26">
        <v>10</v>
      </c>
      <c r="B26" s="27">
        <v>169</v>
      </c>
      <c r="C26">
        <f t="shared" si="0"/>
        <v>168.60798032865122</v>
      </c>
      <c r="D26">
        <f t="shared" si="1"/>
        <v>1.0230046979031475</v>
      </c>
      <c r="E26" s="37">
        <f t="shared" si="2"/>
        <v>1.0162014531884298</v>
      </c>
      <c r="F26">
        <f t="shared" si="3"/>
        <v>172.37747061367978</v>
      </c>
      <c r="G26">
        <f t="shared" si="4"/>
        <v>-3.3774706136797761</v>
      </c>
      <c r="H26">
        <f t="shared" si="5"/>
        <v>11.407307746270444</v>
      </c>
    </row>
    <row r="27" spans="1:8">
      <c r="A27" s="26">
        <v>11</v>
      </c>
      <c r="B27" s="27">
        <v>173</v>
      </c>
      <c r="C27">
        <f t="shared" si="0"/>
        <v>168.22892878359229</v>
      </c>
      <c r="D27">
        <f t="shared" si="1"/>
        <v>0.69619283617047811</v>
      </c>
      <c r="E27" s="37">
        <f t="shared" si="2"/>
        <v>1.0480526558060541</v>
      </c>
      <c r="F27">
        <f t="shared" si="3"/>
        <v>177.78220436407733</v>
      </c>
      <c r="G27">
        <f t="shared" si="4"/>
        <v>-4.7822043640773302</v>
      </c>
      <c r="H27">
        <f t="shared" si="5"/>
        <v>22.869478579800262</v>
      </c>
    </row>
    <row r="28" spans="1:8">
      <c r="A28" s="26">
        <v>12</v>
      </c>
      <c r="B28" s="27">
        <v>203</v>
      </c>
      <c r="C28">
        <f t="shared" si="0"/>
        <v>168.82643943642501</v>
      </c>
      <c r="D28">
        <f t="shared" si="1"/>
        <v>0.67319054348903484</v>
      </c>
      <c r="E28" s="37">
        <f t="shared" si="2"/>
        <v>1.2040049076184032</v>
      </c>
      <c r="F28">
        <f t="shared" si="3"/>
        <v>203.38667545022997</v>
      </c>
      <c r="G28">
        <f t="shared" si="4"/>
        <v>-0.38667545022997274</v>
      </c>
      <c r="H28">
        <f t="shared" si="5"/>
        <v>0.14951790381055213</v>
      </c>
    </row>
    <row r="29" spans="1:8">
      <c r="A29" s="26">
        <v>13</v>
      </c>
      <c r="B29" s="27">
        <v>169</v>
      </c>
      <c r="C29">
        <f t="shared" si="0"/>
        <v>169.96440767111355</v>
      </c>
      <c r="D29">
        <f t="shared" si="1"/>
        <v>0.78152775415030185</v>
      </c>
      <c r="E29" s="37">
        <f t="shared" si="2"/>
        <v>0.98823339924446252</v>
      </c>
      <c r="F29">
        <f t="shared" si="3"/>
        <v>167.50519550572906</v>
      </c>
      <c r="G29">
        <f t="shared" si="4"/>
        <v>1.4948044942709373</v>
      </c>
      <c r="H29">
        <f t="shared" si="5"/>
        <v>2.2344404760925927</v>
      </c>
    </row>
    <row r="30" spans="1:8">
      <c r="A30" s="26">
        <v>14</v>
      </c>
      <c r="B30" s="27">
        <v>166</v>
      </c>
      <c r="C30">
        <f t="shared" si="0"/>
        <v>167.35135099667301</v>
      </c>
      <c r="D30">
        <f t="shared" si="1"/>
        <v>-9.7318422355865408E-3</v>
      </c>
      <c r="E30" s="37">
        <f t="shared" si="2"/>
        <v>1.0394595142086607</v>
      </c>
      <c r="F30">
        <f t="shared" si="3"/>
        <v>177.4834870902481</v>
      </c>
      <c r="G30">
        <f t="shared" si="4"/>
        <v>-11.483487090248104</v>
      </c>
      <c r="H30">
        <f t="shared" si="5"/>
        <v>131.87047575189487</v>
      </c>
    </row>
    <row r="31" spans="1:8">
      <c r="A31" s="26">
        <v>15</v>
      </c>
      <c r="B31" s="27">
        <v>162</v>
      </c>
      <c r="C31">
        <f t="shared" si="0"/>
        <v>169.27872309952917</v>
      </c>
      <c r="D31">
        <f t="shared" si="1"/>
        <v>0.4417967963928231</v>
      </c>
      <c r="E31" s="37">
        <f t="shared" si="2"/>
        <v>0.93293329171244777</v>
      </c>
      <c r="F31">
        <f t="shared" si="3"/>
        <v>156.11856759824011</v>
      </c>
      <c r="G31">
        <f t="shared" si="4"/>
        <v>5.8814324017598949</v>
      </c>
      <c r="H31">
        <f t="shared" si="5"/>
        <v>34.591247096471164</v>
      </c>
    </row>
    <row r="32" spans="1:8">
      <c r="A32" s="26">
        <v>16</v>
      </c>
      <c r="B32" s="27">
        <v>147</v>
      </c>
      <c r="C32">
        <f t="shared" si="0"/>
        <v>167.06512613854198</v>
      </c>
      <c r="D32">
        <f t="shared" si="1"/>
        <v>-0.17716138152539063</v>
      </c>
      <c r="E32" s="37">
        <f t="shared" si="2"/>
        <v>0.91259775591054715</v>
      </c>
      <c r="F32">
        <f t="shared" si="3"/>
        <v>154.88656558898978</v>
      </c>
      <c r="G32">
        <f t="shared" si="4"/>
        <v>-7.8865655889897823</v>
      </c>
      <c r="H32">
        <f t="shared" si="5"/>
        <v>62.197916789437755</v>
      </c>
    </row>
    <row r="33" spans="1:8">
      <c r="A33" s="26">
        <v>17</v>
      </c>
      <c r="B33" s="27">
        <v>188</v>
      </c>
      <c r="C33">
        <f t="shared" si="0"/>
        <v>170.99293557924622</v>
      </c>
      <c r="D33">
        <f t="shared" si="1"/>
        <v>0.77968550925046276</v>
      </c>
      <c r="E33" s="37">
        <f t="shared" si="2"/>
        <v>1.0430106047420362</v>
      </c>
      <c r="F33">
        <f t="shared" si="3"/>
        <v>174.06591704538351</v>
      </c>
      <c r="G33">
        <f t="shared" si="4"/>
        <v>13.934082954616485</v>
      </c>
      <c r="H33">
        <f t="shared" si="5"/>
        <v>194.15866778613369</v>
      </c>
    </row>
    <row r="34" spans="1:8">
      <c r="A34" s="26">
        <v>18</v>
      </c>
      <c r="B34" s="27">
        <v>161</v>
      </c>
      <c r="C34">
        <f t="shared" si="0"/>
        <v>173.56856376765467</v>
      </c>
      <c r="D34">
        <f t="shared" si="1"/>
        <v>1.1983102067167866</v>
      </c>
      <c r="E34" s="37">
        <f t="shared" si="2"/>
        <v>0.90644245153667458</v>
      </c>
      <c r="F34">
        <f t="shared" si="3"/>
        <v>155.70199576633723</v>
      </c>
      <c r="G34">
        <f t="shared" si="4"/>
        <v>5.2980042336627662</v>
      </c>
      <c r="H34">
        <f t="shared" si="5"/>
        <v>28.068848859908595</v>
      </c>
    </row>
    <row r="35" spans="1:8">
      <c r="A35" s="26">
        <v>19</v>
      </c>
      <c r="B35" s="27">
        <v>162</v>
      </c>
      <c r="C35">
        <f t="shared" si="0"/>
        <v>175.12328116997088</v>
      </c>
      <c r="D35">
        <f t="shared" si="1"/>
        <v>1.2813868305779537</v>
      </c>
      <c r="E35" s="37">
        <f t="shared" si="2"/>
        <v>0.92083758937691518</v>
      </c>
      <c r="F35">
        <f t="shared" si="3"/>
        <v>160.93190693349936</v>
      </c>
      <c r="G35">
        <f t="shared" si="4"/>
        <v>1.0680930665006372</v>
      </c>
      <c r="H35">
        <f t="shared" si="5"/>
        <v>1.1408227987067345</v>
      </c>
    </row>
    <row r="36" spans="1:8">
      <c r="A36" s="26">
        <v>20</v>
      </c>
      <c r="B36" s="27">
        <v>169</v>
      </c>
      <c r="C36">
        <f t="shared" si="0"/>
        <v>178.24166176687069</v>
      </c>
      <c r="D36">
        <f t="shared" si="1"/>
        <v>1.7095803183759961</v>
      </c>
      <c r="E36" s="37">
        <f t="shared" si="2"/>
        <v>0.92662094367181047</v>
      </c>
      <c r="F36">
        <f t="shared" si="3"/>
        <v>163.46025993078098</v>
      </c>
      <c r="G36">
        <f t="shared" si="4"/>
        <v>5.5397400692190217</v>
      </c>
      <c r="H36">
        <f t="shared" si="5"/>
        <v>30.688720034510773</v>
      </c>
    </row>
    <row r="37" spans="1:8">
      <c r="A37" s="26">
        <v>21</v>
      </c>
      <c r="B37" s="27">
        <v>185</v>
      </c>
      <c r="C37">
        <f t="shared" si="0"/>
        <v>182.16443527480206</v>
      </c>
      <c r="D37">
        <f t="shared" si="1"/>
        <v>2.2254638931494037</v>
      </c>
      <c r="E37" s="37">
        <f t="shared" si="2"/>
        <v>0.98849075287229571</v>
      </c>
      <c r="F37">
        <f t="shared" si="3"/>
        <v>177.88013876915025</v>
      </c>
      <c r="G37">
        <f t="shared" si="4"/>
        <v>7.1198612308497502</v>
      </c>
      <c r="H37">
        <f t="shared" si="5"/>
        <v>50.692423946557319</v>
      </c>
    </row>
    <row r="38" spans="1:8">
      <c r="A38" s="26">
        <v>22</v>
      </c>
      <c r="B38" s="27">
        <v>188</v>
      </c>
      <c r="C38">
        <f t="shared" si="0"/>
        <v>184.57819078151999</v>
      </c>
      <c r="D38">
        <f t="shared" si="1"/>
        <v>2.2693536679625548</v>
      </c>
      <c r="E38" s="37">
        <f t="shared" si="2"/>
        <v>1.0162014531884298</v>
      </c>
      <c r="F38">
        <f t="shared" si="3"/>
        <v>187.3772834877403</v>
      </c>
      <c r="G38">
        <f t="shared" si="4"/>
        <v>0.62271651225970004</v>
      </c>
      <c r="H38">
        <f t="shared" si="5"/>
        <v>0.38777585464088515</v>
      </c>
    </row>
    <row r="39" spans="1:8">
      <c r="A39" s="26">
        <v>23</v>
      </c>
      <c r="B39" s="27">
        <v>200</v>
      </c>
      <c r="C39">
        <f t="shared" si="0"/>
        <v>188.07126700731936</v>
      </c>
      <c r="D39">
        <f t="shared" si="1"/>
        <v>2.5545968951001474</v>
      </c>
      <c r="E39" s="37">
        <f t="shared" si="2"/>
        <v>1.0480526558060541</v>
      </c>
      <c r="F39">
        <f t="shared" si="3"/>
        <v>195.82606519111991</v>
      </c>
      <c r="G39">
        <f t="shared" si="4"/>
        <v>4.1739348088800909</v>
      </c>
      <c r="H39">
        <f t="shared" si="5"/>
        <v>17.421731788780882</v>
      </c>
    </row>
    <row r="40" spans="1:8">
      <c r="A40" s="26">
        <v>24</v>
      </c>
      <c r="B40" s="27">
        <v>229</v>
      </c>
      <c r="C40">
        <f t="shared" si="0"/>
        <v>190.49456624406776</v>
      </c>
      <c r="D40">
        <f t="shared" si="1"/>
        <v>2.5239921084644661</v>
      </c>
      <c r="E40" s="37">
        <f t="shared" si="2"/>
        <v>1.2040049076184032</v>
      </c>
      <c r="F40">
        <f t="shared" si="3"/>
        <v>229.51447565751093</v>
      </c>
      <c r="G40">
        <f t="shared" si="4"/>
        <v>-0.51447565751092839</v>
      </c>
      <c r="H40">
        <f t="shared" si="5"/>
        <v>0.26468520217130209</v>
      </c>
    </row>
    <row r="41" spans="1:8">
      <c r="A41" s="26">
        <v>25</v>
      </c>
      <c r="B41" s="27">
        <v>189</v>
      </c>
      <c r="C41">
        <f t="shared" si="0"/>
        <v>192.47524579795851</v>
      </c>
      <c r="D41">
        <f t="shared" si="1"/>
        <v>2.3973488383715078</v>
      </c>
      <c r="E41" s="37">
        <f t="shared" si="2"/>
        <v>0.98823339924446252</v>
      </c>
      <c r="F41">
        <f t="shared" si="3"/>
        <v>190.74738603798855</v>
      </c>
      <c r="G41">
        <f t="shared" si="4"/>
        <v>-1.747386037988548</v>
      </c>
      <c r="H41">
        <f t="shared" si="5"/>
        <v>3.0533579657573151</v>
      </c>
    </row>
    <row r="42" spans="1:8">
      <c r="A42" s="26">
        <v>26</v>
      </c>
      <c r="B42" s="27">
        <v>218</v>
      </c>
      <c r="C42">
        <f t="shared" si="0"/>
        <v>199.43610467906569</v>
      </c>
      <c r="D42">
        <f t="shared" si="1"/>
        <v>3.4610787854322052</v>
      </c>
      <c r="E42" s="37">
        <f t="shared" si="2"/>
        <v>1.0394595142086607</v>
      </c>
      <c r="F42">
        <f t="shared" si="3"/>
        <v>202.56217255326084</v>
      </c>
      <c r="G42">
        <f t="shared" si="4"/>
        <v>15.437827446739163</v>
      </c>
      <c r="H42">
        <f t="shared" si="5"/>
        <v>238.32651627529305</v>
      </c>
    </row>
    <row r="43" spans="1:8">
      <c r="A43" s="26">
        <v>27</v>
      </c>
      <c r="B43" s="27">
        <v>185</v>
      </c>
      <c r="C43">
        <f t="shared" si="0"/>
        <v>201.48438485363158</v>
      </c>
      <c r="D43">
        <f t="shared" si="1"/>
        <v>3.1317629348104883</v>
      </c>
      <c r="E43" s="37">
        <f t="shared" si="2"/>
        <v>0.93293329171244777</v>
      </c>
      <c r="F43">
        <f t="shared" si="3"/>
        <v>189.28953724871843</v>
      </c>
      <c r="G43">
        <f t="shared" si="4"/>
        <v>-4.2895372487184318</v>
      </c>
      <c r="H43">
        <f t="shared" si="5"/>
        <v>18.400129808142893</v>
      </c>
    </row>
    <row r="44" spans="1:8">
      <c r="A44" s="26">
        <v>28</v>
      </c>
      <c r="B44" s="27">
        <v>199</v>
      </c>
      <c r="C44">
        <f t="shared" si="0"/>
        <v>208.7466834616512</v>
      </c>
      <c r="D44">
        <f t="shared" si="1"/>
        <v>4.0945688565349689</v>
      </c>
      <c r="E44" s="37">
        <f t="shared" si="2"/>
        <v>0.91259775591054715</v>
      </c>
      <c r="F44">
        <f t="shared" si="3"/>
        <v>186.73223729479309</v>
      </c>
      <c r="G44">
        <f t="shared" si="4"/>
        <v>12.267762705206906</v>
      </c>
      <c r="H44">
        <f t="shared" si="5"/>
        <v>150.49800179126547</v>
      </c>
    </row>
    <row r="45" spans="1:8">
      <c r="A45" s="26">
        <v>29</v>
      </c>
      <c r="B45" s="27">
        <v>210</v>
      </c>
      <c r="C45">
        <f t="shared" si="0"/>
        <v>209.30733264246871</v>
      </c>
      <c r="D45">
        <f t="shared" si="1"/>
        <v>3.2708309542701115</v>
      </c>
      <c r="E45" s="37">
        <f t="shared" si="2"/>
        <v>1.0430106047420362</v>
      </c>
      <c r="F45">
        <f t="shared" si="3"/>
        <v>221.99568329444369</v>
      </c>
      <c r="G45">
        <f t="shared" si="4"/>
        <v>-11.995683294443694</v>
      </c>
      <c r="H45">
        <f t="shared" si="5"/>
        <v>143.89641770059552</v>
      </c>
    </row>
    <row r="46" spans="1:8">
      <c r="A46" s="26">
        <v>30</v>
      </c>
      <c r="B46" s="27">
        <v>193</v>
      </c>
      <c r="C46">
        <f t="shared" si="0"/>
        <v>212.6832923450018</v>
      </c>
      <c r="D46">
        <f t="shared" si="1"/>
        <v>3.2953359069878907</v>
      </c>
      <c r="E46" s="37">
        <f t="shared" si="2"/>
        <v>0.90644245153667458</v>
      </c>
      <c r="F46">
        <f t="shared" si="3"/>
        <v>192.6898717537922</v>
      </c>
      <c r="G46">
        <f t="shared" si="4"/>
        <v>0.31012824620779611</v>
      </c>
      <c r="H46">
        <f t="shared" si="5"/>
        <v>9.6179529095923408E-2</v>
      </c>
    </row>
    <row r="47" spans="1:8">
      <c r="A47" s="26">
        <v>31</v>
      </c>
      <c r="B47" s="27">
        <v>211</v>
      </c>
      <c r="C47">
        <f t="shared" si="0"/>
        <v>220.0224832458122</v>
      </c>
      <c r="D47">
        <f t="shared" si="1"/>
        <v>4.2379370228432807</v>
      </c>
      <c r="E47" s="37">
        <f t="shared" si="2"/>
        <v>0.92083758937691518</v>
      </c>
      <c r="F47">
        <f t="shared" si="3"/>
        <v>198.88123939649512</v>
      </c>
      <c r="G47">
        <f t="shared" si="4"/>
        <v>12.118760603504882</v>
      </c>
      <c r="H47">
        <f t="shared" si="5"/>
        <v>146.86435856506199</v>
      </c>
    </row>
    <row r="48" spans="1:8">
      <c r="A48" s="26">
        <v>32</v>
      </c>
      <c r="B48" s="27">
        <v>208</v>
      </c>
      <c r="C48">
        <f t="shared" si="0"/>
        <v>224.32528104353761</v>
      </c>
      <c r="D48">
        <f t="shared" si="1"/>
        <v>4.2530557248918335</v>
      </c>
      <c r="E48" s="37">
        <f t="shared" si="2"/>
        <v>0.92662094367181047</v>
      </c>
      <c r="F48">
        <f t="shared" si="3"/>
        <v>207.80440225757835</v>
      </c>
      <c r="G48">
        <f t="shared" si="4"/>
        <v>0.19559774242165417</v>
      </c>
      <c r="H48">
        <f t="shared" si="5"/>
        <v>3.8258476840447773E-2</v>
      </c>
    </row>
    <row r="49" spans="1:8">
      <c r="A49" s="26">
        <v>33</v>
      </c>
      <c r="B49" s="27">
        <v>216</v>
      </c>
      <c r="C49">
        <f t="shared" si="0"/>
        <v>225.48615584840829</v>
      </c>
      <c r="D49">
        <f t="shared" si="1"/>
        <v>3.5322847798180712</v>
      </c>
      <c r="E49" s="37">
        <f t="shared" si="2"/>
        <v>0.98849075287229571</v>
      </c>
      <c r="F49">
        <f t="shared" si="3"/>
        <v>225.94757220252197</v>
      </c>
      <c r="G49">
        <f t="shared" si="4"/>
        <v>-9.9475722025219682</v>
      </c>
      <c r="H49">
        <f t="shared" si="5"/>
        <v>98.954192724387767</v>
      </c>
    </row>
    <row r="50" spans="1:8">
      <c r="A50" s="26">
        <v>34</v>
      </c>
      <c r="B50" s="27">
        <v>218</v>
      </c>
      <c r="C50">
        <f t="shared" si="0"/>
        <v>224.56485211248071</v>
      </c>
      <c r="D50">
        <f t="shared" si="1"/>
        <v>2.494176956734524</v>
      </c>
      <c r="E50" s="37">
        <f t="shared" si="2"/>
        <v>1.0162014531884298</v>
      </c>
      <c r="F50">
        <f t="shared" si="3"/>
        <v>232.72887217335176</v>
      </c>
      <c r="G50">
        <f t="shared" si="4"/>
        <v>-14.72887217335176</v>
      </c>
      <c r="H50">
        <f t="shared" si="5"/>
        <v>216.9396754989358</v>
      </c>
    </row>
    <row r="51" spans="1:8">
      <c r="A51" s="26">
        <v>35</v>
      </c>
      <c r="B51" s="27">
        <v>264</v>
      </c>
      <c r="C51">
        <f t="shared" si="0"/>
        <v>234.69060977596018</v>
      </c>
      <c r="D51">
        <f t="shared" si="1"/>
        <v>4.2730578762796876</v>
      </c>
      <c r="E51" s="37">
        <f t="shared" si="2"/>
        <v>1.0480526558060541</v>
      </c>
      <c r="F51">
        <f t="shared" si="3"/>
        <v>237.96981844073505</v>
      </c>
      <c r="G51">
        <f t="shared" si="4"/>
        <v>26.030181559264946</v>
      </c>
      <c r="H51">
        <f t="shared" si="5"/>
        <v>677.57035200829682</v>
      </c>
    </row>
    <row r="52" spans="1:8">
      <c r="A52" s="29">
        <v>36</v>
      </c>
      <c r="B52" s="30">
        <v>304</v>
      </c>
      <c r="C52">
        <f t="shared" si="0"/>
        <v>243.12011054070862</v>
      </c>
      <c r="D52">
        <f t="shared" si="1"/>
        <v>5.2419026322476636</v>
      </c>
      <c r="E52" s="37">
        <f t="shared" si="2"/>
        <v>1.2040049076184032</v>
      </c>
      <c r="F52">
        <f t="shared" si="3"/>
        <v>287.71342859578988</v>
      </c>
      <c r="G52">
        <f t="shared" si="4"/>
        <v>16.286571404210122</v>
      </c>
      <c r="H52">
        <f>G52^2</f>
        <v>265.25240810443483</v>
      </c>
    </row>
    <row r="53" spans="1:8">
      <c r="A53" s="26">
        <v>37</v>
      </c>
      <c r="B53" s="30">
        <f ca="1">C53+G53</f>
        <v>254.65021095321993</v>
      </c>
      <c r="C53">
        <f t="shared" ref="C53:C64" ca="1" si="6">C52+D52+$C$2*(G53/E41)</f>
        <v>249.85346072120763</v>
      </c>
      <c r="D53">
        <f t="shared" ref="D53:D64" ca="1" si="7">D52+$D$2*($C$2*G53/E41)</f>
        <v>5.5895511323469727</v>
      </c>
      <c r="E53" s="37">
        <f t="shared" ref="E53:E64" ca="1" si="8">E41+$E$2*(1-$C$2)*G53/(C52+D52)</f>
        <v>0.98823339924446252</v>
      </c>
      <c r="F53">
        <f t="shared" ref="F53:F64" si="9">(C52+D52)*E41</f>
        <v>245.43963652110858</v>
      </c>
      <c r="G53">
        <f ca="1">NORMINV(RAND(), 0, H$2)</f>
        <v>4.7967502320122959</v>
      </c>
      <c r="H53">
        <f ca="1">G53^2</f>
        <v>23.008812788310014</v>
      </c>
    </row>
    <row r="54" spans="1:8">
      <c r="A54" s="26">
        <v>38</v>
      </c>
      <c r="B54" s="30">
        <f t="shared" ref="B54:B64" ca="1" si="10">C54+G54</f>
        <v>264.15681540550526</v>
      </c>
      <c r="C54">
        <f t="shared" ca="1" si="6"/>
        <v>257.43115539848895</v>
      </c>
      <c r="D54">
        <f t="shared" ca="1" si="7"/>
        <v>6.0529768305479745</v>
      </c>
      <c r="E54" s="37">
        <f t="shared" ca="1" si="8"/>
        <v>1.0394595142086607</v>
      </c>
      <c r="F54">
        <f t="shared" ca="1" si="9"/>
        <v>265.522669009293</v>
      </c>
      <c r="G54">
        <f t="shared" ref="G54:G64" ca="1" si="11">NORMINV(RAND(), 0, H$2)</f>
        <v>6.7256600070162822</v>
      </c>
    </row>
    <row r="55" spans="1:8">
      <c r="A55" s="26">
        <v>39</v>
      </c>
      <c r="B55" s="30">
        <f t="shared" ca="1" si="10"/>
        <v>256.10895295203358</v>
      </c>
      <c r="C55">
        <f t="shared" ca="1" si="6"/>
        <v>261.65687348910728</v>
      </c>
      <c r="D55">
        <f t="shared" ca="1" si="7"/>
        <v>5.6270525256840962</v>
      </c>
      <c r="E55" s="37">
        <f t="shared" ca="1" si="8"/>
        <v>0.93293329171244777</v>
      </c>
      <c r="F55">
        <f t="shared" ca="1" si="9"/>
        <v>245.81311879443325</v>
      </c>
      <c r="G55">
        <f t="shared" ca="1" si="11"/>
        <v>-5.547920537073681</v>
      </c>
    </row>
    <row r="56" spans="1:8">
      <c r="A56" s="29">
        <v>40</v>
      </c>
      <c r="B56" s="30">
        <f t="shared" ca="1" si="10"/>
        <v>272.54461701832577</v>
      </c>
      <c r="C56">
        <f t="shared" ca="1" si="6"/>
        <v>268.60903130037582</v>
      </c>
      <c r="D56">
        <f t="shared" ca="1" si="7"/>
        <v>5.9359275280582651</v>
      </c>
      <c r="E56" s="37">
        <f t="shared" ca="1" si="8"/>
        <v>0.91259775591054715</v>
      </c>
      <c r="F56">
        <f t="shared" ca="1" si="9"/>
        <v>243.92271107205934</v>
      </c>
      <c r="G56">
        <f t="shared" ca="1" si="11"/>
        <v>3.9355857179499747</v>
      </c>
    </row>
    <row r="57" spans="1:8">
      <c r="A57" s="26">
        <v>41</v>
      </c>
      <c r="B57" s="30">
        <f t="shared" ca="1" si="10"/>
        <v>265.14727268965021</v>
      </c>
      <c r="C57">
        <f t="shared" ca="1" si="6"/>
        <v>272.40641941980414</v>
      </c>
      <c r="D57">
        <f t="shared" ca="1" si="7"/>
        <v>5.437445353016221</v>
      </c>
      <c r="E57" s="37">
        <f t="shared" ca="1" si="8"/>
        <v>1.0430106047420362</v>
      </c>
      <c r="F57">
        <f t="shared" ca="1" si="9"/>
        <v>286.35330353652245</v>
      </c>
      <c r="G57">
        <f t="shared" ca="1" si="11"/>
        <v>-7.259146730153943</v>
      </c>
    </row>
    <row r="58" spans="1:8">
      <c r="A58" s="26">
        <v>42</v>
      </c>
      <c r="B58" s="30">
        <f t="shared" ca="1" si="10"/>
        <v>300.05565496250546</v>
      </c>
      <c r="C58">
        <f t="shared" ca="1" si="6"/>
        <v>283.4671239362155</v>
      </c>
      <c r="D58">
        <f t="shared" ca="1" si="7"/>
        <v>6.7481971901264703</v>
      </c>
      <c r="E58" s="37">
        <f t="shared" ca="1" si="8"/>
        <v>0.90644245153667458</v>
      </c>
      <c r="F58">
        <f t="shared" ca="1" si="9"/>
        <v>251.84947392909962</v>
      </c>
      <c r="G58">
        <f t="shared" ca="1" si="11"/>
        <v>16.588531026289939</v>
      </c>
    </row>
    <row r="59" spans="1:8">
      <c r="A59" s="26">
        <v>43</v>
      </c>
      <c r="B59" s="30">
        <f t="shared" ca="1" si="10"/>
        <v>300.93026483034248</v>
      </c>
      <c r="C59">
        <f t="shared" ca="1" si="6"/>
        <v>292.89617920559459</v>
      </c>
      <c r="D59">
        <f t="shared" ca="1" si="7"/>
        <v>7.3730909661925583</v>
      </c>
      <c r="E59" s="37">
        <f t="shared" ca="1" si="8"/>
        <v>0.92083758937691518</v>
      </c>
      <c r="F59">
        <f t="shared" ca="1" si="9"/>
        <v>267.24117670622803</v>
      </c>
      <c r="G59">
        <f t="shared" ca="1" si="11"/>
        <v>8.03408562474789</v>
      </c>
    </row>
    <row r="60" spans="1:8">
      <c r="A60" s="29">
        <v>44</v>
      </c>
      <c r="B60" s="30">
        <f t="shared" ca="1" si="10"/>
        <v>289.26661696024007</v>
      </c>
      <c r="C60">
        <f t="shared" ca="1" si="6"/>
        <v>297.52933054359647</v>
      </c>
      <c r="D60">
        <f t="shared" ca="1" si="7"/>
        <v>6.7344255949430325</v>
      </c>
      <c r="E60" s="37">
        <f t="shared" ca="1" si="8"/>
        <v>0.92662094367181047</v>
      </c>
      <c r="F60">
        <f t="shared" ca="1" si="9"/>
        <v>278.23579448222722</v>
      </c>
      <c r="G60">
        <f t="shared" ca="1" si="11"/>
        <v>-8.26271358335641</v>
      </c>
    </row>
    <row r="61" spans="1:8">
      <c r="A61" s="26">
        <v>45</v>
      </c>
      <c r="B61" s="30">
        <f t="shared" ca="1" si="10"/>
        <v>295.1093071328574</v>
      </c>
      <c r="C61">
        <f t="shared" ca="1" si="6"/>
        <v>302.09291653117458</v>
      </c>
      <c r="D61">
        <f t="shared" ca="1" si="7"/>
        <v>6.2284144151724599</v>
      </c>
      <c r="E61" s="37">
        <f t="shared" ca="1" si="8"/>
        <v>0.98849075287229571</v>
      </c>
      <c r="F61">
        <f t="shared" ca="1" si="9"/>
        <v>300.7619093771375</v>
      </c>
      <c r="G61">
        <f t="shared" ca="1" si="11"/>
        <v>-6.9836093983171956</v>
      </c>
    </row>
    <row r="62" spans="1:8">
      <c r="A62" s="26">
        <v>46</v>
      </c>
      <c r="B62" s="30">
        <f t="shared" ca="1" si="10"/>
        <v>299.2244658188651</v>
      </c>
      <c r="C62">
        <f t="shared" ca="1" si="6"/>
        <v>306.20931337374918</v>
      </c>
      <c r="D62">
        <f t="shared" ca="1" si="7"/>
        <v>5.7361143392107641</v>
      </c>
      <c r="E62" s="37">
        <f t="shared" ca="1" si="8"/>
        <v>1.0162014531884298</v>
      </c>
      <c r="F62">
        <f t="shared" ca="1" si="9"/>
        <v>313.31658455666866</v>
      </c>
      <c r="G62">
        <f t="shared" ca="1" si="11"/>
        <v>-6.9848475548841069</v>
      </c>
    </row>
    <row r="63" spans="1:8">
      <c r="A63" s="26">
        <v>47</v>
      </c>
      <c r="B63" s="30">
        <f t="shared" ca="1" si="10"/>
        <v>307.8597896636893</v>
      </c>
      <c r="C63">
        <f t="shared" ca="1" si="6"/>
        <v>311.01915783245994</v>
      </c>
      <c r="D63">
        <f t="shared" ca="1" si="7"/>
        <v>5.5202057509264844</v>
      </c>
      <c r="E63" s="37">
        <f t="shared" ca="1" si="8"/>
        <v>1.0480526558060541</v>
      </c>
      <c r="F63">
        <f t="shared" ca="1" si="9"/>
        <v>326.93523398112313</v>
      </c>
      <c r="G63">
        <f t="shared" ca="1" si="11"/>
        <v>-3.159368168770615</v>
      </c>
    </row>
    <row r="64" spans="1:8">
      <c r="A64" s="29">
        <v>48</v>
      </c>
      <c r="B64" s="30">
        <f t="shared" ca="1" si="10"/>
        <v>301.46498063548842</v>
      </c>
      <c r="C64">
        <f t="shared" ca="1" si="6"/>
        <v>313.4744627373168</v>
      </c>
      <c r="D64">
        <f t="shared" ca="1" si="7"/>
        <v>4.8057936461639112</v>
      </c>
      <c r="E64" s="37">
        <f t="shared" ca="1" si="8"/>
        <v>1.2040049076184032</v>
      </c>
      <c r="F64">
        <f t="shared" ca="1" si="9"/>
        <v>381.1149472088033</v>
      </c>
      <c r="G64">
        <f t="shared" ca="1" si="11"/>
        <v>-12.009482101828389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H64"/>
  <sheetViews>
    <sheetView workbookViewId="0">
      <pane ySplit="4" topLeftCell="A56" activePane="bottomLeft" state="frozen"/>
      <selection activeCell="O15" sqref="O15"/>
      <selection pane="bottomLeft" activeCell="B56" sqref="B56"/>
    </sheetView>
  </sheetViews>
  <sheetFormatPr baseColWidth="10" defaultColWidth="11" defaultRowHeight="15" x14ac:dyDescent="0"/>
  <cols>
    <col min="6" max="8" width="10.83203125" customWidth="1"/>
  </cols>
  <sheetData>
    <row r="1" spans="1:8" ht="63">
      <c r="A1" s="1" t="s">
        <v>14</v>
      </c>
      <c r="B1" s="1"/>
      <c r="C1" s="19" t="s">
        <v>15</v>
      </c>
      <c r="D1" s="19" t="s">
        <v>16</v>
      </c>
      <c r="E1" s="19" t="s">
        <v>18</v>
      </c>
      <c r="G1" s="19" t="s">
        <v>8</v>
      </c>
      <c r="H1" s="19" t="s">
        <v>9</v>
      </c>
    </row>
    <row r="2" spans="1:8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31.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O42"/>
  <sheetViews>
    <sheetView workbookViewId="0"/>
  </sheetViews>
  <sheetFormatPr baseColWidth="10" defaultColWidth="11" defaultRowHeight="15" x14ac:dyDescent="0"/>
  <cols>
    <col min="2" max="2" width="13.33203125" bestFit="1" customWidth="1"/>
    <col min="3" max="3" width="19.1640625" bestFit="1" customWidth="1"/>
  </cols>
  <sheetData>
    <row r="1" spans="1:1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baseColWidth="10" defaultColWidth="11" defaultRowHeight="15" x14ac:dyDescent="0"/>
  <sheetData>
    <row r="1" spans="1:8" ht="63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>
      <c r="A53" s="4">
        <v>37</v>
      </c>
      <c r="B53" s="23">
        <f ca="1">F53+G53</f>
        <v>233.13337465704359</v>
      </c>
      <c r="C53" s="21">
        <f t="shared" ref="C53:C64" ca="1" si="6">C52+D52+C$2*G53/E41</f>
        <v>244.50874629406758</v>
      </c>
      <c r="D53" s="21">
        <f t="shared" ref="D53:D64" ca="1" si="7">D52+D$2*C$2*G53/E41</f>
        <v>4.3416621824279478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-12.266567127639529</v>
      </c>
      <c r="H53" s="4"/>
    </row>
    <row r="54" spans="1:8">
      <c r="A54" s="4">
        <v>38</v>
      </c>
      <c r="B54" s="23">
        <f t="shared" ref="B54:B64" ca="1" si="10">F54+G54</f>
        <v>253.69975558352044</v>
      </c>
      <c r="C54" s="21">
        <f t="shared" ca="1" si="6"/>
        <v>247.38155588085678</v>
      </c>
      <c r="D54" s="21">
        <f t="shared" ca="1" si="7"/>
        <v>4.0059633635077141</v>
      </c>
      <c r="E54" s="21">
        <f t="shared" ca="1" si="2"/>
        <v>1.0394595142086607</v>
      </c>
      <c r="F54" s="21">
        <f t="shared" ca="1" si="8"/>
        <v>258.66992470560479</v>
      </c>
      <c r="G54" s="4">
        <f t="shared" ca="1" si="9"/>
        <v>-4.9701691220843323</v>
      </c>
      <c r="H54" s="4"/>
    </row>
    <row r="55" spans="1:8">
      <c r="A55" s="4">
        <v>39</v>
      </c>
      <c r="B55" s="23">
        <f t="shared" ca="1" si="10"/>
        <v>224.05824597162803</v>
      </c>
      <c r="C55" s="21">
        <f t="shared" ca="1" si="6"/>
        <v>247.94011961904883</v>
      </c>
      <c r="D55" s="21">
        <f t="shared" ca="1" si="7"/>
        <v>3.2180776450900193</v>
      </c>
      <c r="E55" s="21">
        <f t="shared" ca="1" si="2"/>
        <v>0.93293329171244777</v>
      </c>
      <c r="F55" s="21">
        <f t="shared" ca="1" si="8"/>
        <v>234.52778582407126</v>
      </c>
      <c r="G55" s="4">
        <f t="shared" ca="1" si="9"/>
        <v>-10.469539852443242</v>
      </c>
      <c r="H55" s="4"/>
    </row>
    <row r="56" spans="1:8">
      <c r="A56" s="4">
        <v>40</v>
      </c>
      <c r="B56" s="23">
        <f t="shared" ca="1" si="10"/>
        <v>217.58655023731887</v>
      </c>
      <c r="C56" s="21">
        <f t="shared" ca="1" si="6"/>
        <v>247.24676321081751</v>
      </c>
      <c r="D56" s="21">
        <f t="shared" ca="1" si="7"/>
        <v>2.3241392091414026</v>
      </c>
      <c r="E56" s="21">
        <f t="shared" ca="1" si="2"/>
        <v>0.91259775591054715</v>
      </c>
      <c r="F56" s="21">
        <f t="shared" ca="1" si="8"/>
        <v>229.20640720179162</v>
      </c>
      <c r="G56" s="4">
        <f t="shared" ca="1" si="9"/>
        <v>-11.619856964472751</v>
      </c>
      <c r="H56" s="4"/>
    </row>
    <row r="57" spans="1:8">
      <c r="A57" s="4">
        <v>41</v>
      </c>
      <c r="B57" s="23">
        <f t="shared" ca="1" si="10"/>
        <v>252.7584590837117</v>
      </c>
      <c r="C57" s="21">
        <f t="shared" ca="1" si="6"/>
        <v>247.34820950349257</v>
      </c>
      <c r="D57" s="21">
        <f t="shared" ca="1" si="7"/>
        <v>1.8161540041619637</v>
      </c>
      <c r="E57" s="21">
        <f t="shared" ca="1" si="2"/>
        <v>1.0430106047420362</v>
      </c>
      <c r="F57" s="21">
        <f t="shared" ca="1" si="8"/>
        <v>260.30509785905707</v>
      </c>
      <c r="G57" s="4">
        <f t="shared" ca="1" si="9"/>
        <v>-7.5466387753453823</v>
      </c>
      <c r="H57" s="4"/>
    </row>
    <row r="58" spans="1:8">
      <c r="A58" s="4">
        <v>42</v>
      </c>
      <c r="B58" s="23">
        <f t="shared" ca="1" si="10"/>
        <v>229.23873070684931</v>
      </c>
      <c r="C58" s="21">
        <f t="shared" ca="1" si="6"/>
        <v>250.31174206226677</v>
      </c>
      <c r="D58" s="21">
        <f t="shared" ca="1" si="7"/>
        <v>2.078381559725655</v>
      </c>
      <c r="E58" s="21">
        <f t="shared" ca="1" si="2"/>
        <v>0.90644245153667458</v>
      </c>
      <c r="F58" s="21">
        <f t="shared" ca="1" si="8"/>
        <v>225.85315649345353</v>
      </c>
      <c r="G58" s="4">
        <f t="shared" ca="1" si="9"/>
        <v>3.3855742133957873</v>
      </c>
      <c r="H58" s="4"/>
    </row>
    <row r="59" spans="1:8">
      <c r="A59" s="4">
        <v>43</v>
      </c>
      <c r="B59" s="23">
        <f t="shared" ca="1" si="10"/>
        <v>232.64763184808061</v>
      </c>
      <c r="C59" s="21">
        <f t="shared" ca="1" si="6"/>
        <v>252.46929419444575</v>
      </c>
      <c r="D59" s="21">
        <f t="shared" ca="1" si="7"/>
        <v>2.0964755929490959</v>
      </c>
      <c r="E59" s="21">
        <f t="shared" ca="1" si="2"/>
        <v>0.92083758937691518</v>
      </c>
      <c r="F59" s="21">
        <f t="shared" ca="1" si="8"/>
        <v>232.4103130186171</v>
      </c>
      <c r="G59" s="4">
        <f t="shared" ca="1" si="9"/>
        <v>0.23731882946349639</v>
      </c>
      <c r="H59" s="4"/>
    </row>
    <row r="60" spans="1:8">
      <c r="A60" s="4">
        <v>44</v>
      </c>
      <c r="B60" s="23">
        <f t="shared" ca="1" si="10"/>
        <v>239.50172347743336</v>
      </c>
      <c r="C60" s="21">
        <f t="shared" ca="1" si="6"/>
        <v>255.76447078772657</v>
      </c>
      <c r="D60" s="21">
        <f t="shared" ca="1" si="7"/>
        <v>2.3704326334613035</v>
      </c>
      <c r="E60" s="21">
        <f t="shared" ca="1" si="2"/>
        <v>0.92662094367181047</v>
      </c>
      <c r="F60" s="21">
        <f t="shared" ca="1" si="8"/>
        <v>235.88597382693669</v>
      </c>
      <c r="G60" s="4">
        <f t="shared" ca="1" si="9"/>
        <v>3.6157496504966642</v>
      </c>
      <c r="H60" s="4"/>
    </row>
    <row r="61" spans="1:8">
      <c r="A61" s="4">
        <v>45</v>
      </c>
      <c r="B61" s="23">
        <f t="shared" ca="1" si="10"/>
        <v>263.84440742990614</v>
      </c>
      <c r="C61" s="21">
        <f t="shared" ca="1" si="6"/>
        <v>260.83254269534069</v>
      </c>
      <c r="D61" s="21">
        <f t="shared" ca="1" si="7"/>
        <v>2.986964422215876</v>
      </c>
      <c r="E61" s="21">
        <f t="shared" ca="1" si="2"/>
        <v>0.98849075287229571</v>
      </c>
      <c r="F61" s="21">
        <f t="shared" ca="1" si="8"/>
        <v>255.16396502542733</v>
      </c>
      <c r="G61" s="4">
        <f t="shared" ca="1" si="9"/>
        <v>8.6804424044788036</v>
      </c>
      <c r="H61" s="4"/>
    </row>
    <row r="62" spans="1:8">
      <c r="A62" s="4">
        <v>46</v>
      </c>
      <c r="B62" s="23">
        <f t="shared" ca="1" si="10"/>
        <v>250.58708003380588</v>
      </c>
      <c r="C62" s="21">
        <f t="shared" ca="1" si="6"/>
        <v>258.52727639784547</v>
      </c>
      <c r="D62" s="21">
        <f t="shared" ca="1" si="7"/>
        <v>1.777451903849222</v>
      </c>
      <c r="E62" s="21">
        <f t="shared" ca="1" si="2"/>
        <v>1.0162014531884298</v>
      </c>
      <c r="F62" s="21">
        <f t="shared" ca="1" si="8"/>
        <v>268.09376651231628</v>
      </c>
      <c r="G62" s="4">
        <f t="shared" ca="1" si="9"/>
        <v>-17.506686478510417</v>
      </c>
      <c r="H62" s="4"/>
    </row>
    <row r="63" spans="1:8">
      <c r="A63" s="4">
        <v>47</v>
      </c>
      <c r="B63" s="23">
        <f t="shared" ca="1" si="10"/>
        <v>281.5546713395168</v>
      </c>
      <c r="C63" s="21">
        <f t="shared" ca="1" si="6"/>
        <v>262.86698671156836</v>
      </c>
      <c r="D63" s="21">
        <f t="shared" ca="1" si="7"/>
        <v>2.3630430819680726</v>
      </c>
      <c r="E63" s="21">
        <f t="shared" ca="1" si="2"/>
        <v>1.0480526558060541</v>
      </c>
      <c r="F63" s="21">
        <f t="shared" ca="1" si="8"/>
        <v>272.81306181546444</v>
      </c>
      <c r="G63" s="4">
        <f t="shared" ca="1" si="9"/>
        <v>8.7416095240523806</v>
      </c>
      <c r="H63" s="4"/>
    </row>
    <row r="64" spans="1:8">
      <c r="A64" s="4">
        <v>48</v>
      </c>
      <c r="B64" s="23">
        <f t="shared" ca="1" si="10"/>
        <v>329.65787280148095</v>
      </c>
      <c r="C64" s="21">
        <f t="shared" ca="1" si="6"/>
        <v>267.86302383746749</v>
      </c>
      <c r="D64" s="21">
        <f t="shared" ca="1" si="7"/>
        <v>2.964800530874848</v>
      </c>
      <c r="E64" s="21">
        <f t="shared" ca="1" si="2"/>
        <v>1.2040049076184032</v>
      </c>
      <c r="F64" s="21">
        <f t="shared" ca="1" si="8"/>
        <v>319.33825751919318</v>
      </c>
      <c r="G64" s="4">
        <f t="shared" ca="1" si="9"/>
        <v>10.319615282287769</v>
      </c>
      <c r="H64" s="4"/>
    </row>
    <row r="65" spans="1:12">
      <c r="B65" s="18"/>
      <c r="C65" s="18"/>
      <c r="D65" s="18"/>
      <c r="E65" s="18"/>
      <c r="F65" s="18"/>
    </row>
    <row r="66" spans="1:12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>
      <c r="A69" t="s">
        <v>19</v>
      </c>
    </row>
    <row r="70" spans="1:12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/>
  </sheetViews>
  <sheetFormatPr baseColWidth="10" defaultColWidth="11" defaultRowHeight="15" x14ac:dyDescent="0"/>
  <sheetData>
    <row r="1" spans="1:12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Timeseries</vt:lpstr>
      <vt:lpstr>MySES</vt:lpstr>
      <vt:lpstr>SES</vt:lpstr>
      <vt:lpstr>MyHolt</vt:lpstr>
      <vt:lpstr>Holt'sTrend-Corrected</vt:lpstr>
      <vt:lpstr>MyAutocorrelate</vt:lpstr>
      <vt:lpstr>Holt's Autocorrelation</vt:lpstr>
      <vt:lpstr>HoltWintersInitial</vt:lpstr>
      <vt:lpstr>MyHoltWintersInitial</vt:lpstr>
      <vt:lpstr>MyHoltWintersSeasonal</vt:lpstr>
      <vt:lpstr>MyMonteCarlo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Louie</cp:lastModifiedBy>
  <dcterms:created xsi:type="dcterms:W3CDTF">2013-04-01T16:41:05Z</dcterms:created>
  <dcterms:modified xsi:type="dcterms:W3CDTF">2016-07-04T23:17:25Z</dcterms:modified>
</cp:coreProperties>
</file>